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RAMEWORK/"/>
    </mc:Choice>
  </mc:AlternateContent>
  <xr:revisionPtr revIDLastSave="104" documentId="11_D7210D98AB9F6511CFA7447711E4920A3EEDBF74" xr6:coauthVersionLast="47" xr6:coauthVersionMax="47" xr10:uidLastSave="{7D1C062F-A7FB-48BA-AE63-C0E537AB9ADE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A12" i="1" a="1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4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28" i="2"/>
  <c r="E34" i="3" s="1"/>
  <c r="M29" i="2"/>
  <c r="E35" i="3" s="1"/>
  <c r="M30" i="2"/>
  <c r="E36" i="3" s="1"/>
  <c r="M31" i="2"/>
  <c r="E37" i="3" s="1"/>
  <c r="M32" i="2"/>
  <c r="E38" i="3" s="1"/>
  <c r="M33" i="2"/>
  <c r="E39" i="3" s="1"/>
  <c r="M34" i="2"/>
  <c r="E40" i="3" s="1"/>
  <c r="M35" i="2"/>
  <c r="E41" i="3" s="1"/>
  <c r="M36" i="2"/>
  <c r="E42" i="3" s="1"/>
  <c r="M37" i="2"/>
  <c r="E43" i="3" s="1"/>
  <c r="M38" i="2"/>
  <c r="E44" i="3" s="1"/>
  <c r="M39" i="2"/>
  <c r="E45" i="3" s="1"/>
  <c r="M40" i="2"/>
  <c r="E46" i="3" s="1"/>
  <c r="M41" i="2"/>
  <c r="E47" i="3" s="1"/>
  <c r="M42" i="2"/>
  <c r="E48" i="3" s="1"/>
  <c r="M43" i="2"/>
  <c r="E49" i="3" s="1"/>
  <c r="M44" i="2"/>
  <c r="E50" i="3" s="1"/>
  <c r="M45" i="2"/>
  <c r="E51" i="3" s="1"/>
  <c r="M46" i="2"/>
  <c r="E52" i="3" s="1"/>
  <c r="M47" i="2"/>
  <c r="E53" i="3" s="1"/>
  <c r="M48" i="2"/>
  <c r="E54" i="3" s="1"/>
  <c r="M49" i="2"/>
  <c r="E55" i="3" s="1"/>
  <c r="M50" i="2"/>
  <c r="E56" i="3" s="1"/>
  <c r="M51" i="2"/>
  <c r="E57" i="3" s="1"/>
  <c r="M52" i="2"/>
  <c r="E58" i="3" s="1"/>
  <c r="M53" i="2"/>
  <c r="M54" i="2"/>
  <c r="E60" i="3" s="1"/>
  <c r="M55" i="2"/>
  <c r="E61" i="3" s="1"/>
  <c r="M7" i="2"/>
  <c r="E13" i="3" s="1"/>
  <c r="D61" i="3"/>
  <c r="F61" i="3" s="1"/>
  <c r="C61" i="3"/>
  <c r="B61" i="3"/>
  <c r="A61" i="3"/>
  <c r="D60" i="3"/>
  <c r="F60" i="3" s="1"/>
  <c r="C60" i="3"/>
  <c r="B60" i="3"/>
  <c r="A60" i="3"/>
  <c r="E59" i="3"/>
  <c r="D59" i="3"/>
  <c r="C59" i="3"/>
  <c r="B59" i="3"/>
  <c r="A59" i="3"/>
  <c r="D58" i="3"/>
  <c r="C58" i="3"/>
  <c r="B58" i="3"/>
  <c r="A58" i="3"/>
  <c r="D57" i="3"/>
  <c r="F57" i="3" s="1"/>
  <c r="C57" i="3"/>
  <c r="B57" i="3"/>
  <c r="A57" i="3"/>
  <c r="D56" i="3"/>
  <c r="F56" i="3" s="1"/>
  <c r="C56" i="3"/>
  <c r="B56" i="3"/>
  <c r="A56" i="3"/>
  <c r="D55" i="3"/>
  <c r="F55" i="3" s="1"/>
  <c r="C55" i="3"/>
  <c r="B55" i="3"/>
  <c r="A55" i="3"/>
  <c r="D54" i="3"/>
  <c r="F54" i="3" s="1"/>
  <c r="C54" i="3"/>
  <c r="B54" i="3"/>
  <c r="A54" i="3"/>
  <c r="D53" i="3"/>
  <c r="F53" i="3" s="1"/>
  <c r="C53" i="3"/>
  <c r="B53" i="3"/>
  <c r="A53" i="3"/>
  <c r="D52" i="3"/>
  <c r="F52" i="3" s="1"/>
  <c r="C52" i="3"/>
  <c r="B52" i="3"/>
  <c r="A52" i="3"/>
  <c r="D51" i="3"/>
  <c r="F51" i="3" s="1"/>
  <c r="C51" i="3"/>
  <c r="B51" i="3"/>
  <c r="A51" i="3"/>
  <c r="D50" i="3"/>
  <c r="F50" i="3" s="1"/>
  <c r="C50" i="3"/>
  <c r="B50" i="3"/>
  <c r="A50" i="3"/>
  <c r="D49" i="3"/>
  <c r="F49" i="3" s="1"/>
  <c r="C49" i="3"/>
  <c r="B49" i="3"/>
  <c r="A49" i="3"/>
  <c r="D48" i="3"/>
  <c r="F48" i="3" s="1"/>
  <c r="C48" i="3"/>
  <c r="B48" i="3"/>
  <c r="A48" i="3"/>
  <c r="D47" i="3"/>
  <c r="F47" i="3" s="1"/>
  <c r="C47" i="3"/>
  <c r="B47" i="3"/>
  <c r="A47" i="3"/>
  <c r="D46" i="3"/>
  <c r="F46" i="3" s="1"/>
  <c r="C46" i="3"/>
  <c r="B46" i="3"/>
  <c r="A46" i="3"/>
  <c r="D45" i="3"/>
  <c r="F45" i="3" s="1"/>
  <c r="C45" i="3"/>
  <c r="B45" i="3"/>
  <c r="A45" i="3"/>
  <c r="D44" i="3"/>
  <c r="F44" i="3" s="1"/>
  <c r="C44" i="3"/>
  <c r="B44" i="3"/>
  <c r="A44" i="3"/>
  <c r="D43" i="3"/>
  <c r="F43" i="3" s="1"/>
  <c r="C43" i="3"/>
  <c r="B43" i="3"/>
  <c r="A43" i="3"/>
  <c r="D42" i="3"/>
  <c r="F42" i="3" s="1"/>
  <c r="C42" i="3"/>
  <c r="B42" i="3"/>
  <c r="A42" i="3"/>
  <c r="D41" i="3"/>
  <c r="F41" i="3" s="1"/>
  <c r="C41" i="3"/>
  <c r="B41" i="3"/>
  <c r="A41" i="3"/>
  <c r="D40" i="3"/>
  <c r="F40" i="3" s="1"/>
  <c r="C40" i="3"/>
  <c r="B40" i="3"/>
  <c r="A40" i="3"/>
  <c r="D39" i="3"/>
  <c r="C39" i="3"/>
  <c r="B39" i="3"/>
  <c r="A39" i="3"/>
  <c r="D38" i="3"/>
  <c r="F38" i="3" s="1"/>
  <c r="C38" i="3"/>
  <c r="B38" i="3"/>
  <c r="A38" i="3"/>
  <c r="D37" i="3"/>
  <c r="F37" i="3" s="1"/>
  <c r="C37" i="3"/>
  <c r="B37" i="3"/>
  <c r="A37" i="3"/>
  <c r="D36" i="3"/>
  <c r="F36" i="3" s="1"/>
  <c r="C36" i="3"/>
  <c r="B36" i="3"/>
  <c r="A36" i="3"/>
  <c r="D35" i="3"/>
  <c r="F35" i="3" s="1"/>
  <c r="C35" i="3"/>
  <c r="B35" i="3"/>
  <c r="A35" i="3"/>
  <c r="D34" i="3"/>
  <c r="F34" i="3" s="1"/>
  <c r="C34" i="3"/>
  <c r="B34" i="3"/>
  <c r="A34" i="3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2" i="1" l="1"/>
  <c r="F26" i="3"/>
  <c r="F25" i="3"/>
  <c r="F20" i="3"/>
  <c r="F19" i="3"/>
  <c r="F14" i="3"/>
  <c r="F13" i="3"/>
  <c r="F12" i="3"/>
  <c r="F10" i="3"/>
  <c r="F24" i="3"/>
  <c r="F21" i="3"/>
  <c r="F22" i="3"/>
  <c r="F18" i="3"/>
  <c r="F59" i="3"/>
  <c r="F23" i="3"/>
  <c r="F11" i="3"/>
  <c r="F58" i="3"/>
  <c r="F39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<sst xmlns="http://schemas.openxmlformats.org/spreadsheetml/2006/main" count="608" uniqueCount="473">
  <si>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</si>
  <si>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</si>
  <si>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</si>
  <si>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</si>
  <si>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</si>
  <si>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</si>
  <si>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</si>
  <si>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</si>
  <si>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</si>
  <si>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</si>
  <si>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</si>
  <si>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</si>
  <si>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</si>
  <si>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</si>
  <si>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</si>
  <si>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</si>
  <si>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</si>
  <si>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</si>
  <si>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</si>
  <si>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</si>
  <si>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</si>
  <si>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</si>
  <si>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</si>
  <si>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</si>
  <si>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</si>
  <si>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</si>
  <si>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</si>
  <si>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</si>
  <si>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</si>
  <si>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</si>
  <si>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</si>
  <si>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</si>
  <si>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</si>
  <si>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</si>
  <si>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FLAG if &gt;3 changes in last 90 days (only evaluate within last 6 months).</t>
  </si>
  <si>
    <t>Observed: {num_changes_90d} ACoS target changes in last 90 days (within last 6 months). Rule: ≤3. Result: {PASS/FLAG}.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</si>
  <si>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</si>
  <si>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</si>
  <si>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</si>
  <si>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</si>
  <si>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</si>
  <si>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</si>
  <si>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</si>
  <si>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</si>
  <si>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</si>
  <si>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</si>
  <si>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</si>
  <si>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</si>
  <si>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</si>
  <si>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</si>
  <si>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</si>
  <si>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</si>
  <si>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</si>
  <si>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</si>
  <si>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</si>
  <si>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</si>
  <si>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</si>
  <si>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</si>
  <si>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</si>
  <si>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</si>
  <si>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</si>
  <si>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</si>
  <si>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</si>
  <si>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</si>
  <si>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</si>
  <si>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</si>
  <si>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</si>
  <si>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</si>
  <si>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</si>
  <si>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</si>
  <si>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</si>
  <si>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</si>
  <si>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</si>
  <si>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</si>
  <si>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</si>
  <si>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</si>
  <si>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</si>
  <si>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</si>
  <si>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</si>
  <si>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</si>
  <si>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</si>
  <si>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</si>
  <si>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</si>
  <si>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</si>
  <si>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</si>
  <si>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Campaign VAM Baseline</t>
  </si>
  <si>
    <t>Check campaign-level VAM baseline active.</t>
  </si>
  <si>
    <t>Rare config; visibility only.</t>
  </si>
  <si>
    <t>Informational unless present; if present, FLAG.</t>
  </si>
  <si>
    <t>Observed: campaign-level VAM baseline configuration detected = {present/none}. Result: {OK/FLAG}.</t>
  </si>
  <si>
    <t>When present, this is a non-standard configuration that can alter campaign-level behavior and should be reviewed for intent.</t>
  </si>
  <si>
    <t>Campaign VAM baseline tab (TBD)</t>
  </si>
  <si>
    <t>C010</t>
  </si>
  <si>
    <t>Shared VAM Baseline</t>
  </si>
  <si>
    <t>Check shared VAM baseline active.</t>
  </si>
  <si>
    <t>Observed: shared VAM baseline configuration detected = {present/none}. Result: {OK/FLAG}.</t>
  </si>
  <si>
    <t>Shared baselines can affect multiple entities at once; if active, it increases governance complexity and should be reviewed.</t>
  </si>
  <si>
    <t>Shared VAM baseline tab (TBD)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</si>
  <si>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</si>
  <si>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</si>
  <si>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</si>
  <si>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</si>
  <si>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</si>
  <si>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</si>
  <si>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</si>
  <si>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</si>
  <si>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</si>
  <si>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</si>
  <si>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</si>
  <si>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</si>
  <si>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</si>
  <si>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</si>
  <si>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</si>
  <si>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</si>
  <si>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</si>
  <si>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</si>
  <si>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</si>
  <si>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</si>
  <si>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</si>
  <si>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</si>
  <si>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</si>
  <si>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</si>
  <si>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</si>
  <si>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</si>
  <si>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</si>
  <si>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</si>
  <si>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</si>
  <si>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</si>
  <si>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</si>
  <si>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</si>
  <si>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</si>
  <si>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</si>
  <si>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</si>
  <si>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</si>
  <si>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</si>
  <si>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</si>
  <si>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</si>
  <si>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</si>
  <si>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</si>
  <si>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</si>
  <si>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Unmanaged Products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</si>
  <si>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</si>
  <si>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</si>
  <si>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</si>
  <si>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</si>
  <si>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</si>
  <si>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</si>
  <si>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</si>
  <si>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</si>
  <si>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</si>
  <si>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</si>
  <si>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</si>
  <si>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</si>
  <si>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</si>
  <si>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</si>
  <si>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</si>
  <si>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</si>
  <si>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</si>
  <si>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</si>
  <si>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</si>
  <si>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</si>
  <si>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</si>
  <si>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</si>
  <si>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</si>
  <si>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</si>
  <si>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</si>
  <si>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</si>
  <si>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</si>
  <si>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</si>
  <si>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</si>
  <si>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</si>
  <si>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</si>
  <si>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</si>
  <si>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</si>
  <si>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</si>
  <si>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</si>
  <si>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</si>
  <si>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</si>
  <si>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</si>
  <si>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</si>
  <si>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</si>
  <si>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</si>
  <si>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</si>
  <si>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</si>
  <si>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</si>
  <si>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</si>
  <si>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</si>
  <si>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</si>
  <si>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</si>
  <si>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</si>
  <si>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</si>
  <si>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</si>
  <si>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</si>
  <si>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</si>
  <si>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</si>
  <si>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</si>
  <si>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</si>
  <si>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</si>
  <si>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</si>
  <si>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</si>
  <si>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</si>
  <si>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Check MinBid within $0.02–$0.15.</t>
  </si>
  <si>
    <t>High min bid prevents efficiency controls.</t>
  </si>
  <si>
    <t>FLAG if MinBid &gt; $0.15 (or &lt; $0.02).</t>
  </si>
  <si>
    <t>Observed: MinBid = ${value}. Rule: $0.02–$0.15. Result: {OK/FLAG}.</t>
  </si>
  <si>
    <t>A high MinBid prevents efficiency controls and forces bidding above optimal levels; too low can create low-quality traffic.</t>
  </si>
  <si>
    <t>41_Seller_Parameter_Insights_Da (EN)</t>
  </si>
  <si>
    <t>C025</t>
  </si>
  <si>
    <t>Minimum Bid</t>
  </si>
  <si>
    <t>Check MaxConversionRate default / &lt;=25%.</t>
  </si>
  <si>
    <t>Incorrect cap limits bid logic.</t>
  </si>
  <si>
    <t>FLAG if deviates from default or &gt;25%.</t>
  </si>
  <si>
    <t>Observed: MaxConversionRate = {value}%. Rule: default / ≤25%. Result: {OK/FLAG}.</t>
  </si>
  <si>
    <t>Incorrect caps can suppress bidding where conversion potential exists or inflate bids beyond rational bounds.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</si>
  <si>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</si>
  <si>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</si>
  <si>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</si>
  <si>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</si>
  <si>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</si>
  <si>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FLAG if promote/negate min clicks != 30 (default).</t>
  </si>
  <si>
    <t>Observed: promote/negate min clicks = {value}. Rule: 30 (default). Result: {OK/FLAG}.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</si>
  <si>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</si>
  <si>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</si>
  <si>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</si>
  <si>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</si>
  <si>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</si>
  <si>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</si>
  <si>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</si>
  <si>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</si>
  <si>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</si>
  <si>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</si>
  <si>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</si>
  <si>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</si>
  <si>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</si>
  <si>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</si>
  <si>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</si>
  <si>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</si>
  <si>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</si>
  <si>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</si>
  <si>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</si>
  <si>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</si>
  <si>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</si>
  <si>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</si>
  <si>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</si>
  <si>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</si>
  <si>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</si>
  <si>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</si>
  <si>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</si>
  <si>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</si>
  <si>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</si>
  <si>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</si>
  <si>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</si>
  <si>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</si>
  <si>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</si>
  <si>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</si>
  <si>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</si>
  <si>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</si>
  <si>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</si>
  <si>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</si>
  <si>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</si>
  <si>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</si>
  <si>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</si>
  <si>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</si>
  <si>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</si>
  <si>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Check existence of SPT per brand/category + spend concentration.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</si>
  <si>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</si>
  <si>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</si>
  <si>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</si>
  <si>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</si>
  <si>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</si>
  <si>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</si>
  <si>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</si>
  <si>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</si>
  <si>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</si>
  <si>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</si>
  <si>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</si>
  <si>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</si>
  <si>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</si>
  <si>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</si>
  <si>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</si>
  <si>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 xml:space="preserve">Check if we are covering the best sellers with ATM campaigns </t>
  </si>
  <si>
    <t>ATM for low velocity wastes spend; BA supports discovery.</t>
  </si>
  <si>
    <t>FLAG if ASINs &lt;2 orders/day have ATM spend.</t>
  </si>
  <si>
    <t>Observed: {num_low_velocity_asins} low-velocity ASINs (&lt;2 orders/day) had ATM spend. Result: {OK/FLAG}.</t>
  </si>
  <si>
    <t>ATM spend on low-velocity items wastes budget and reduces discovery efficiency; BA is better suited for exploration.</t>
  </si>
  <si>
    <t>14_Campaign_Performance_by_Adve + sales by ASIN</t>
  </si>
  <si>
    <t>C035</t>
  </si>
  <si>
    <t>ChangeSBV</t>
  </si>
  <si>
    <t>Check BAK exists per BA.</t>
  </si>
  <si>
    <t>No translation limits scalable growth.</t>
  </si>
  <si>
    <t>FLAG if no BAK; PARTIAL if BAK count &lt; BA count.</t>
  </si>
  <si>
    <t>Observed: BA count={ba_count}; BAK count={bak_count}. Rule: BAK should exist per BA. Result: {OK/PARTIAL/FLAG}.</t>
  </si>
  <si>
    <t>Without translation structures, discovery wins don’t scale into controlled growth.</t>
  </si>
  <si>
    <t>Campaign structure tabs (TBD)</t>
  </si>
  <si>
    <t>C036</t>
  </si>
  <si>
    <t>Rule Based Optimization (RBO)</t>
  </si>
  <si>
    <t>Check branded sales share 5–20% (SP).</t>
  </si>
  <si>
    <t>Branded defenses should exist but not dominate.</t>
  </si>
  <si>
    <t>FLAG if &lt;5% or &gt;20% branded sales share.</t>
  </si>
  <si>
    <t>Observed: SP branded sales share={pct}%. Rule: 5–20%. Result: {OK/FLAG}.</t>
  </si>
  <si>
    <t>Too low suggests weak defense; too high suggests over-reliance on branded demand and limited expansion.</t>
  </si>
  <si>
    <t>12_Search_Terms_by_Category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</si>
  <si>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</si>
  <si>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</si>
  <si>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</si>
  <si>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</si>
  <si>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</si>
  <si>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</si>
  <si>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</si>
  <si>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</si>
  <si>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</si>
  <si>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</si>
  <si>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</si>
  <si>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Check SP+SB branded spend share 5–15%.</t>
  </si>
  <si>
    <t>Branded supports defense and ranking.</t>
  </si>
  <si>
    <t>FLAG if outside 5–15%.</t>
  </si>
  <si>
    <t>Observed: SP+SB branded spend share={pct}%. Rule: 5–15%. Result: {OK/FLAG}.</t>
  </si>
  <si>
    <t>Branded supports defense and ranking. Imbalance can signal missed defense or inefficient overinvestment.</t>
  </si>
  <si>
    <t>12_Search_Terms_by_Category (SB branded)</t>
  </si>
  <si>
    <t>C039</t>
  </si>
  <si>
    <t>ATM Coverage for Top Sellers</t>
  </si>
  <si>
    <t>Visibility control for custom images (removed enforcement).</t>
  </si>
  <si>
    <t>Creative impacts eligibility; volatile policy.</t>
  </si>
  <si>
    <t>Removed from enforcement (visibility only).</t>
  </si>
  <si>
    <t>Observed: custom images status={present/unknown}. Result: {OK (visibility)/FLAG (manual)}.</t>
  </si>
  <si>
    <t>Creative impacts eligibility and CTR, but enforcement is volatile; treat as visibility-only unless manually flagged.</t>
  </si>
  <si>
    <t>Amazon UI (not in Databricks)</t>
  </si>
  <si>
    <t>C040</t>
  </si>
  <si>
    <t>BA → BAK Translation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</si>
  <si>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</si>
  <si>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</si>
  <si>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</si>
  <si>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</si>
  <si>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</si>
  <si>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</si>
  <si>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</si>
  <si>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</si>
  <si>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</si>
  <si>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</si>
  <si>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</si>
  <si>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</si>
  <si>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</si>
  <si>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</si>
  <si>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</si>
  <si>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</si>
  <si>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Check SD_SPT / Real Estate coverage for top sellers/categories.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</si>
  <si>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</si>
  <si>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</si>
  <si>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</si>
  <si>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</si>
  <si>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</si>
  <si>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</si>
  <si>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SB Branded Spend Share</t>
  </si>
  <si>
    <t>Check VCPM spend share 0.1–10%.</t>
  </si>
  <si>
    <t>Too much VCPM can distort attribution &amp; spend.</t>
  </si>
  <si>
    <t>FLAG if &gt;10%.</t>
  </si>
  <si>
    <t>Observed: SD VCPM spend share={pct}%. Rule: 0.1–10%. Result: {OK/FLAG}.</t>
  </si>
  <si>
    <t>Excess VCPM can distort attribution and inflate spend without proportional sales.</t>
  </si>
  <si>
    <t>12_Search_Terms_by_Category (SD)</t>
  </si>
  <si>
    <t>C044</t>
  </si>
  <si>
    <t>SB Custom Images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</si>
  <si>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</si>
  <si>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</si>
  <si>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</si>
  <si>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</si>
  <si>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</si>
  <si>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</si>
  <si>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Compare budget to campaign count (logic depends on budget input).</t>
  </si>
  <si>
    <t>Too many/few campaigns vs budget reduces efficiency.</t>
  </si>
  <si>
    <t>OK/FLAG depending on budget vs active campaigns ratio; budget source TBD.</t>
  </si>
  <si>
    <t>Observed: budget=${budget}; active campaigns={campaign_count}; ratio={budget_per_campaign}. Result: {OK/FLAG} (per defined rule).</t>
  </si>
  <si>
    <t>Mismatch between budget and structure reduces efficiency (too fragmented) or limits coverage (too consolidated).</t>
  </si>
  <si>
    <t>10_Campaigns_Grouped_by_QT_Camp + budget input</t>
  </si>
  <si>
    <t>C046</t>
  </si>
  <si>
    <t>SBTV Spend Share</t>
  </si>
  <si>
    <t>Check if account hits daily cap 3 consecutive days in last 30 days.</t>
  </si>
  <si>
    <t>Caps delivery and distorts conversion signals.</t>
  </si>
  <si>
    <t>FLAG if 3 consecutive OOB days present; OK if no data.</t>
  </si>
  <si>
    <t>Observed: {max_consecutive_oob_days} consecutive out-of-budget days in last 30 days. Rule: &lt;3. Result: {OK/FLAG}.</t>
  </si>
  <si>
    <t>Consecutive budget caps suppress delivery and distort conversion signals, reducing optimization reliability.</t>
  </si>
  <si>
    <t>OOB dashboard/tab (TBD)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</si>
  <si>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</si>
  <si>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</si>
  <si>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</si>
  <si>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</si>
  <si>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</si>
  <si>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</si>
  <si>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</si>
  <si>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</si>
  <si>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</si>
  <si>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</si>
  <si>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C049</t>
  </si>
  <si>
    <t>SD VCPM Sales Share</t>
  </si>
  <si>
    <t>Removed/superseded control (visibility).</t>
  </si>
  <si>
    <t>Low value vs other OOB checks.</t>
  </si>
  <si>
    <t>Removed.</t>
  </si>
  <si>
    <t>Observed: intraday OOB metric={value/NA}. Result: {OK (visibility)/FLAG (manual)}.</t>
  </si>
  <si>
    <t>Superseded by stronger OOB controls; keep for visibility only.</t>
  </si>
  <si>
    <t>TBD</t>
  </si>
  <si>
    <t>C050</t>
  </si>
  <si>
    <t>Budget X Amount of Campaigns</t>
  </si>
  <si>
    <t>Visibility for Brand Analytics activation.</t>
  </si>
  <si>
    <t>Enables deeper insights; not always available.</t>
  </si>
  <si>
    <t>Visibility / manual.</t>
  </si>
  <si>
    <t>Observed: Brand Analytics enabled={YES/NO/NA}. Result: {OK (visibility)/FLAG (manual)}.</t>
  </si>
  <si>
    <t>Brand Analytics unlocks deeper insights, but availability varies; treat as visibility-only unless manually flagged.</t>
  </si>
  <si>
    <t>Seller Central / BA status</t>
  </si>
  <si>
    <t>C051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</si>
  <si>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</si>
  <si>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</si>
  <si>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</si>
  <si>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</si>
  <si>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</si>
  <si>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</si>
  <si>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C052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</si>
  <si>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</si>
  <si>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</si>
  <si>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</si>
  <si>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</si>
  <si>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</si>
  <si>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</si>
  <si>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C053</t>
  </si>
  <si>
    <t>Intraday OOB %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</si>
  <si>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</si>
  <si>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</si>
  <si>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</si>
  <si>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</si>
  <si>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</si>
  <si>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C054</t>
  </si>
  <si>
    <t>Brand Analytics Enabled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</si>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</sst>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16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55" totalsRowShown="0" headerRowDxfId="25" dataDxfId="24" tableBorderDxfId="23">
  <autoFilter ref="A1:N55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workbookViewId="0">
      <pane ySplit="8" topLeftCell="A9" activePane="bottomLeft" state="frozen"/>
      <selection pane="bottomLeft" activeCell="A7" sqref="A7:C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5" width="50.21875" style="30" customWidth="1"/>
    <col min="6" max="6" width="36.21875" customWidth="1"/>
    <col min="7" max="7" width="33.664062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5" t="s">
        <v>0</v>
      </c>
      <c r="B1" s="36"/>
      <c r="C1" s="36"/>
      <c r="D1" s="36"/>
      <c r="E1" s="36"/>
      <c r="F1" s="36"/>
      <c r="G1" s="37"/>
      <c r="H1" s="24"/>
    </row>
    <row r="2" spans="1:8" x14ac:dyDescent="0.3">
      <c r="A2" s="33" t="s">
        <v>469</v>
      </c>
      <c r="B2" s="24" t="s">
        <v>472</v>
      </c>
      <c r="C2" s="24"/>
      <c r="D2" s="38"/>
      <c r="E2" s="39"/>
      <c r="F2" s="39"/>
      <c r="G2" s="39"/>
      <c r="H2" s="24"/>
    </row>
    <row r="3" spans="1:8" x14ac:dyDescent="0.3">
      <c r="A3" s="32" t="s">
        <v>466</v>
      </c>
      <c r="B3" t="s">
        <v>467</v>
      </c>
      <c r="D3" s="31"/>
      <c r="E3"/>
      <c r="H3" s="24"/>
    </row>
    <row r="4" spans="1:8" ht="14.4" customHeight="1" x14ac:dyDescent="0.3">
      <c r="A4" s="33" t="s">
        <v>465</v>
      </c>
      <c r="B4" s="24" t="s">
        <v>468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471</v>
      </c>
      <c r="B5" s="34">
        <v>46083.684884259259</v>
      </c>
      <c r="C5" s="24"/>
      <c r="D5" s="31"/>
      <c r="E5"/>
      <c r="H5" s="24"/>
    </row>
    <row r="6" spans="1:8" x14ac:dyDescent="0.3">
      <c r="A6" s="24"/>
      <c r="B6" s="24"/>
      <c r="C6" s="24"/>
      <c r="D6" s="29"/>
      <c r="E6" s="29"/>
      <c r="F6" s="24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4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9</v>
      </c>
      <c r="G11" s="22"/>
      <c r="H11" s="22"/>
    </row>
    <row r="12" spans="1:8" ht="44.4" customHeight="1" x14ac:dyDescent="0.3">
      <c r="A12" s="25" t="str" cm="1">
        <f t="array" ref="A12">_xlfn.LET(
  _xlpm.id, Framework_Reference!B2:B55,
  _xlpm.name, Framework_Reference!C2:C55,
  _xlpm.st, Framework_Reference!D2:D55,
  _xlpm.saw, Framework_Reference!N2:N55,
  _xlpm.matter, Framework_Reference!I2:I55,
  _xlpm.impact, Framework_Reference!K2:K55,
  _xlpm.data, _xlfn.HSTACK(_xlpm.id, _xlpm.name, _xlpm.st, _xlpm.saw, _xlpm.matter,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5"/>
      <c r="G12" s="24"/>
      <c r="H12" s="24"/>
    </row>
    <row r="13" spans="1:8" ht="44.4" customHeight="1" x14ac:dyDescent="0.3">
      <c r="A13" s="25"/>
      <c r="B13" s="25"/>
      <c r="C13" s="23"/>
      <c r="D13" s="27"/>
      <c r="E13" s="27"/>
      <c r="F13" s="25"/>
      <c r="G13" s="24"/>
      <c r="H13" s="24"/>
    </row>
    <row r="14" spans="1:8" ht="44.4" customHeight="1" x14ac:dyDescent="0.3">
      <c r="A14" s="25"/>
      <c r="B14" s="25"/>
      <c r="C14" s="23"/>
      <c r="D14" s="27"/>
      <c r="E14" s="27"/>
      <c r="F14" s="25"/>
      <c r="G14" s="24"/>
      <c r="H14" s="24"/>
    </row>
    <row r="15" spans="1:8" ht="44.4" customHeight="1" x14ac:dyDescent="0.3">
      <c r="A15" s="25"/>
      <c r="B15" s="25"/>
      <c r="C15" s="23"/>
      <c r="D15" s="27"/>
      <c r="E15" s="27"/>
      <c r="F15" s="25"/>
      <c r="G15" s="24"/>
      <c r="H15" s="24"/>
    </row>
    <row r="16" spans="1:8" ht="44.4" customHeight="1" x14ac:dyDescent="0.3">
      <c r="A16" s="25"/>
      <c r="B16" s="25"/>
      <c r="C16" s="23"/>
      <c r="D16" s="27"/>
      <c r="E16" s="27"/>
      <c r="F16" s="25"/>
      <c r="G16" s="24"/>
      <c r="H16" s="24"/>
    </row>
    <row r="17" spans="1:8" ht="44.4" customHeight="1" x14ac:dyDescent="0.3">
      <c r="A17" s="25"/>
      <c r="B17" s="25"/>
      <c r="C17" s="23"/>
      <c r="D17" s="27"/>
      <c r="E17" s="27"/>
      <c r="F17" s="25"/>
      <c r="G17" s="24"/>
      <c r="H17" s="24"/>
    </row>
    <row r="18" spans="1:8" ht="44.4" customHeight="1" x14ac:dyDescent="0.3">
      <c r="A18" s="25"/>
      <c r="B18" s="25"/>
      <c r="C18" s="23"/>
      <c r="D18" s="27"/>
      <c r="E18" s="27"/>
      <c r="F18" s="25"/>
      <c r="G18" s="24"/>
      <c r="H18" s="24"/>
    </row>
    <row r="19" spans="1:8" ht="44.4" customHeight="1" x14ac:dyDescent="0.3">
      <c r="A19" s="25"/>
      <c r="B19" s="25"/>
      <c r="C19" s="23"/>
      <c r="D19" s="27"/>
      <c r="E19" s="27"/>
      <c r="F19" s="25"/>
      <c r="G19" s="24"/>
      <c r="H19" s="24"/>
    </row>
    <row r="20" spans="1:8" ht="44.4" customHeight="1" x14ac:dyDescent="0.3">
      <c r="A20" s="25"/>
      <c r="B20" s="25"/>
      <c r="C20" s="23"/>
      <c r="D20" s="27"/>
      <c r="E20" s="27"/>
      <c r="F20" s="25"/>
      <c r="G20" s="24"/>
      <c r="H20" s="24"/>
    </row>
    <row r="21" spans="1:8" ht="44.4" customHeight="1" x14ac:dyDescent="0.3">
      <c r="A21" s="25"/>
      <c r="B21" s="25"/>
      <c r="C21" s="23"/>
      <c r="D21" s="27"/>
      <c r="E21" s="27"/>
      <c r="F21" s="25"/>
      <c r="G21" s="24"/>
      <c r="H21" s="24"/>
    </row>
    <row r="22" spans="1:8" ht="44.4" customHeight="1" x14ac:dyDescent="0.3">
      <c r="A22" s="25"/>
      <c r="B22" s="25"/>
      <c r="C22" s="23"/>
      <c r="D22" s="27"/>
      <c r="E22" s="27"/>
      <c r="F22" s="25"/>
      <c r="G22" s="24"/>
      <c r="H22" s="24"/>
    </row>
    <row r="23" spans="1:8" ht="44.4" customHeight="1" x14ac:dyDescent="0.3">
      <c r="A23" s="25"/>
      <c r="B23" s="25"/>
      <c r="C23" s="23"/>
      <c r="D23" s="27"/>
      <c r="E23" s="27"/>
      <c r="F23" s="25"/>
      <c r="G23" s="24"/>
      <c r="H23" s="24"/>
    </row>
    <row r="24" spans="1:8" ht="44.4" customHeight="1" x14ac:dyDescent="0.3">
      <c r="A24" s="25"/>
      <c r="B24" s="25"/>
      <c r="C24" s="23"/>
      <c r="D24" s="27"/>
      <c r="E24" s="27"/>
      <c r="F24" s="25"/>
      <c r="G24" s="24"/>
      <c r="H24" s="24"/>
    </row>
    <row r="25" spans="1:8" ht="44.4" customHeight="1" x14ac:dyDescent="0.3">
      <c r="A25" s="25"/>
      <c r="B25" s="25"/>
      <c r="C25" s="23"/>
      <c r="D25" s="27"/>
      <c r="E25" s="27"/>
      <c r="F25" s="25"/>
      <c r="G25" s="24"/>
      <c r="H25" s="24"/>
    </row>
    <row r="26" spans="1:8" ht="44.4" customHeight="1" x14ac:dyDescent="0.3">
      <c r="A26" s="24"/>
      <c r="B26" s="24"/>
      <c r="C26" s="23"/>
      <c r="D26" s="29"/>
      <c r="E26" s="29"/>
      <c r="F26" s="24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4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4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4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4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5"/>
  <sheetViews>
    <sheetView tabSelected="1" topLeftCell="F1" workbookViewId="0">
      <pane ySplit="1" topLeftCell="A2" activePane="bottomLeft" state="frozen"/>
      <selection pane="bottomLeft" activeCell="L6" sqref="L6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9" width="47.88671875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11" t="s">
        <v>15</v>
      </c>
      <c r="K1" s="11" t="s">
        <v>9</v>
      </c>
      <c r="L1" s="11" t="s">
        <v>16</v>
      </c>
      <c r="M1" s="11" t="s">
        <v>17</v>
      </c>
      <c r="N1" s="13" t="s">
        <v>18</v>
      </c>
    </row>
    <row r="2" spans="1:14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4" t="str">
        <f>VLOOKUP(Table1[[#This Row],[Importance]],'Logic and Calculation'!$H$3:$J$12,3,FALSE)</f>
        <v>Medium</v>
      </c>
      <c r="L2" s="8">
        <v>5</v>
      </c>
      <c r="M2" s="4">
        <f>VLOOKUP(Table1[[#This Row],[Importance]],'Logic and Calculation'!$H$3:$J$12,2,FALSE)</f>
        <v>-7</v>
      </c>
      <c r="N2" s="14"/>
    </row>
    <row r="3" spans="1:14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34</v>
      </c>
      <c r="H3" s="3" t="s">
        <v>35</v>
      </c>
      <c r="I3" s="3" t="s">
        <v>36</v>
      </c>
      <c r="J3" s="3" t="s">
        <v>28</v>
      </c>
      <c r="K3" s="4" t="str">
        <f>VLOOKUP(Table1[[#This Row],[Importance]],'Logic and Calculation'!$H$3:$J$12,3,FALSE)</f>
        <v>Medium</v>
      </c>
      <c r="L3" s="4">
        <v>5</v>
      </c>
      <c r="M3" s="4">
        <f>VLOOKUP(Table1[[#This Row],[Importance]],'Logic and Calculation'!$H$3:$J$12,2,FALSE)</f>
        <v>-7</v>
      </c>
      <c r="N3" s="15"/>
    </row>
    <row r="4" spans="1:14" ht="36" customHeight="1" x14ac:dyDescent="0.3">
      <c r="A4" s="20" t="s">
        <v>19</v>
      </c>
      <c r="B4" s="4" t="s">
        <v>37</v>
      </c>
      <c r="C4" s="4" t="s">
        <v>38</v>
      </c>
      <c r="D4" s="18" t="s">
        <v>22</v>
      </c>
      <c r="E4" s="3" t="s">
        <v>39</v>
      </c>
      <c r="F4" s="3" t="s">
        <v>40</v>
      </c>
      <c r="G4" s="3" t="s">
        <v>41</v>
      </c>
      <c r="H4" s="3" t="s">
        <v>42</v>
      </c>
      <c r="I4" s="3" t="s">
        <v>43</v>
      </c>
      <c r="J4" s="3" t="s">
        <v>28</v>
      </c>
      <c r="K4" s="4" t="str">
        <f>VLOOKUP(Table1[[#This Row],[Importance]],'Logic and Calculation'!$H$3:$J$12,3,FALSE)</f>
        <v>Medium</v>
      </c>
      <c r="L4" s="4">
        <v>5</v>
      </c>
      <c r="M4" s="4">
        <f>VLOOKUP(Table1[[#This Row],[Importance]],'Logic and Calculation'!$H$3:$J$12,2,FALSE)</f>
        <v>-7</v>
      </c>
      <c r="N4" s="15"/>
    </row>
    <row r="5" spans="1:14" ht="48" customHeight="1" x14ac:dyDescent="0.3">
      <c r="A5" s="20" t="s">
        <v>19</v>
      </c>
      <c r="B5" s="4" t="s">
        <v>44</v>
      </c>
      <c r="C5" s="4" t="s">
        <v>45</v>
      </c>
      <c r="D5" s="18" t="s">
        <v>22</v>
      </c>
      <c r="E5" s="3" t="s">
        <v>46</v>
      </c>
      <c r="F5" s="3" t="s">
        <v>47</v>
      </c>
      <c r="G5" s="3" t="s">
        <v>48</v>
      </c>
      <c r="H5" s="3" t="s">
        <v>49</v>
      </c>
      <c r="I5" s="3" t="s">
        <v>50</v>
      </c>
      <c r="J5" s="3" t="s">
        <v>51</v>
      </c>
      <c r="K5" s="4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-18</v>
      </c>
      <c r="N5" s="15"/>
    </row>
    <row r="6" spans="1:14" ht="36" customHeight="1" x14ac:dyDescent="0.3">
      <c r="A6" s="20" t="s">
        <v>19</v>
      </c>
      <c r="B6" s="4" t="s">
        <v>52</v>
      </c>
      <c r="C6" s="4" t="s">
        <v>53</v>
      </c>
      <c r="D6" s="18" t="s">
        <v>22</v>
      </c>
      <c r="E6" s="3" t="s">
        <v>54</v>
      </c>
      <c r="F6" s="3" t="s">
        <v>55</v>
      </c>
      <c r="G6" s="3" t="s">
        <v>56</v>
      </c>
      <c r="H6" s="3" t="s">
        <v>57</v>
      </c>
      <c r="I6" s="3" t="s">
        <v>58</v>
      </c>
      <c r="J6" s="3" t="s">
        <v>59</v>
      </c>
      <c r="K6" s="4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-18</v>
      </c>
      <c r="N6" s="15"/>
    </row>
    <row r="7" spans="1:14" ht="48" customHeight="1" x14ac:dyDescent="0.3">
      <c r="A7" s="20" t="s">
        <v>19</v>
      </c>
      <c r="B7" s="4" t="s">
        <v>60</v>
      </c>
      <c r="C7" s="4" t="s">
        <v>61</v>
      </c>
      <c r="D7" s="18" t="s">
        <v>22</v>
      </c>
      <c r="E7" s="3" t="s">
        <v>62</v>
      </c>
      <c r="F7" s="3" t="s">
        <v>63</v>
      </c>
      <c r="G7" s="3" t="s">
        <v>64</v>
      </c>
      <c r="H7" s="3" t="s">
        <v>65</v>
      </c>
      <c r="I7" s="3" t="s">
        <v>66</v>
      </c>
      <c r="J7" s="3" t="s">
        <v>67</v>
      </c>
      <c r="K7" s="4" t="str">
        <f>VLOOKUP(Table1[[#This Row],[Importance]],'Logic and Calculation'!$H$3:$J$12,3,FALSE)</f>
        <v>Medium</v>
      </c>
      <c r="L7" s="4">
        <v>7</v>
      </c>
      <c r="M7" s="4">
        <f>VLOOKUP(Table1[[#This Row],[Importance]],'Logic and Calculation'!$H$3:$J$12,2,FALSE)</f>
        <v>-11</v>
      </c>
      <c r="N7" s="15"/>
    </row>
    <row r="8" spans="1:14" ht="36" customHeight="1" x14ac:dyDescent="0.3">
      <c r="A8" s="20" t="s">
        <v>19</v>
      </c>
      <c r="B8" s="4" t="s">
        <v>68</v>
      </c>
      <c r="C8" s="4" t="s">
        <v>69</v>
      </c>
      <c r="D8" s="18" t="s">
        <v>22</v>
      </c>
      <c r="E8" s="3" t="s">
        <v>70</v>
      </c>
      <c r="F8" s="3" t="s">
        <v>71</v>
      </c>
      <c r="G8" s="3" t="s">
        <v>72</v>
      </c>
      <c r="H8" s="3" t="s">
        <v>73</v>
      </c>
      <c r="I8" s="3" t="s">
        <v>74</v>
      </c>
      <c r="J8" s="3" t="s">
        <v>75</v>
      </c>
      <c r="K8" s="4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-11</v>
      </c>
      <c r="N8" s="15"/>
    </row>
    <row r="9" spans="1:14" ht="24" customHeight="1" x14ac:dyDescent="0.3">
      <c r="A9" s="20" t="s">
        <v>19</v>
      </c>
      <c r="B9" s="4" t="s">
        <v>76</v>
      </c>
      <c r="C9" s="4" t="s">
        <v>77</v>
      </c>
      <c r="D9" s="18" t="s">
        <v>22</v>
      </c>
      <c r="E9" s="3" t="s">
        <v>78</v>
      </c>
      <c r="F9" s="3" t="s">
        <v>79</v>
      </c>
      <c r="G9" s="3" t="s">
        <v>80</v>
      </c>
      <c r="H9" s="3" t="s">
        <v>81</v>
      </c>
      <c r="I9" s="3" t="s">
        <v>82</v>
      </c>
      <c r="J9" s="3" t="s">
        <v>83</v>
      </c>
      <c r="K9" s="4" t="str">
        <f>VLOOKUP(Table1[[#This Row],[Importance]],'Logic and Calculation'!$H$3:$J$12,3,FALSE)</f>
        <v>Medium</v>
      </c>
      <c r="L9" s="4">
        <v>7</v>
      </c>
      <c r="M9" s="4">
        <f>VLOOKUP(Table1[[#This Row],[Importance]],'Logic and Calculation'!$H$3:$J$12,2,FALSE)</f>
        <v>-11</v>
      </c>
      <c r="N9" s="15"/>
    </row>
    <row r="10" spans="1:14" ht="48" customHeight="1" x14ac:dyDescent="0.3">
      <c r="A10" s="20" t="s">
        <v>19</v>
      </c>
      <c r="B10" s="4" t="s">
        <v>84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91</v>
      </c>
      <c r="K10" s="4" t="str">
        <f>VLOOKUP(Table1[[#This Row],[Importance]],'Logic and Calculation'!$H$3:$J$12,3,FALSE)</f>
        <v>High</v>
      </c>
      <c r="L10" s="4">
        <v>8</v>
      </c>
      <c r="M10" s="4">
        <f>VLOOKUP(Table1[[#This Row],[Importance]],'Logic and Calculation'!$H$3:$J$12,2,FALSE)</f>
        <v>-13</v>
      </c>
      <c r="N10" s="15"/>
    </row>
    <row r="11" spans="1:14" ht="36" customHeight="1" x14ac:dyDescent="0.3">
      <c r="A11" s="20" t="s">
        <v>19</v>
      </c>
      <c r="B11" s="4" t="s">
        <v>92</v>
      </c>
      <c r="C11" s="4" t="s">
        <v>93</v>
      </c>
      <c r="D11" s="18" t="s">
        <v>22</v>
      </c>
      <c r="E11" s="3" t="s">
        <v>94</v>
      </c>
      <c r="F11" s="3" t="s">
        <v>87</v>
      </c>
      <c r="G11" s="3" t="s">
        <v>88</v>
      </c>
      <c r="H11" s="3" t="s">
        <v>95</v>
      </c>
      <c r="I11" s="3" t="s">
        <v>96</v>
      </c>
      <c r="J11" s="3" t="s">
        <v>97</v>
      </c>
      <c r="K11" s="4" t="str">
        <f>VLOOKUP(Table1[[#This Row],[Importance]],'Logic and Calculation'!$H$3:$J$12,3,FALSE)</f>
        <v>High</v>
      </c>
      <c r="L11" s="4">
        <v>8</v>
      </c>
      <c r="M11" s="4">
        <f>VLOOKUP(Table1[[#This Row],[Importance]],'Logic and Calculation'!$H$3:$J$12,2,FALSE)</f>
        <v>-13</v>
      </c>
      <c r="N11" s="15"/>
    </row>
    <row r="12" spans="1:14" ht="60" customHeight="1" x14ac:dyDescent="0.3">
      <c r="A12" s="20" t="s">
        <v>19</v>
      </c>
      <c r="B12" s="4" t="s">
        <v>98</v>
      </c>
      <c r="C12" s="4" t="s">
        <v>99</v>
      </c>
      <c r="D12" s="18" t="s">
        <v>22</v>
      </c>
      <c r="E12" s="3" t="s">
        <v>100</v>
      </c>
      <c r="F12" s="3" t="s">
        <v>101</v>
      </c>
      <c r="G12" s="3" t="s">
        <v>102</v>
      </c>
      <c r="H12" s="3" t="s">
        <v>103</v>
      </c>
      <c r="I12" s="3" t="s">
        <v>104</v>
      </c>
      <c r="J12" s="3" t="s">
        <v>105</v>
      </c>
      <c r="K12" s="4" t="str">
        <f>VLOOKUP(Table1[[#This Row],[Importance]],'Logic and Calculation'!$H$3:$J$12,3,FALSE)</f>
        <v>Medium</v>
      </c>
      <c r="L12" s="4">
        <v>6</v>
      </c>
      <c r="M12" s="4">
        <f>VLOOKUP(Table1[[#This Row],[Importance]],'Logic and Calculation'!$H$3:$J$12,2,FALSE)</f>
        <v>-9</v>
      </c>
      <c r="N12" s="15"/>
    </row>
    <row r="13" spans="1:14" ht="60" customHeight="1" x14ac:dyDescent="0.3">
      <c r="A13" s="20" t="s">
        <v>19</v>
      </c>
      <c r="B13" s="4" t="s">
        <v>106</v>
      </c>
      <c r="C13" s="4" t="s">
        <v>107</v>
      </c>
      <c r="D13" s="18" t="s">
        <v>22</v>
      </c>
      <c r="E13" s="3" t="s">
        <v>108</v>
      </c>
      <c r="F13" s="3" t="s">
        <v>109</v>
      </c>
      <c r="G13" s="3" t="s">
        <v>110</v>
      </c>
      <c r="H13" s="3" t="s">
        <v>111</v>
      </c>
      <c r="I13" s="3" t="s">
        <v>112</v>
      </c>
      <c r="J13" s="3" t="s">
        <v>113</v>
      </c>
      <c r="K13" s="4" t="str">
        <f>VLOOKUP(Table1[[#This Row],[Importance]],'Logic and Calculation'!$H$3:$J$12,3,FALSE)</f>
        <v>Medium</v>
      </c>
      <c r="L13" s="4">
        <v>6</v>
      </c>
      <c r="M13" s="4">
        <f>VLOOKUP(Table1[[#This Row],[Importance]],'Logic and Calculation'!$H$3:$J$12,2,FALSE)</f>
        <v>-9</v>
      </c>
      <c r="N13" s="15"/>
    </row>
    <row r="14" spans="1:14" ht="48" customHeight="1" x14ac:dyDescent="0.3">
      <c r="A14" s="20" t="s">
        <v>114</v>
      </c>
      <c r="B14" s="4" t="s">
        <v>115</v>
      </c>
      <c r="C14" s="4" t="s">
        <v>116</v>
      </c>
      <c r="D14" s="18" t="s">
        <v>22</v>
      </c>
      <c r="E14" s="3" t="s">
        <v>117</v>
      </c>
      <c r="F14" s="3" t="s">
        <v>118</v>
      </c>
      <c r="G14" s="3" t="s">
        <v>119</v>
      </c>
      <c r="H14" s="3" t="s">
        <v>120</v>
      </c>
      <c r="I14" s="3" t="s">
        <v>121</v>
      </c>
      <c r="J14" s="3" t="s">
        <v>122</v>
      </c>
      <c r="K14" s="4" t="str">
        <f>VLOOKUP(Table1[[#This Row],[Importance]],'Logic and Calculation'!$H$3:$J$12,3,FALSE)</f>
        <v>Low</v>
      </c>
      <c r="L14" s="4">
        <v>4</v>
      </c>
      <c r="M14" s="4">
        <f>VLOOKUP(Table1[[#This Row],[Importance]],'Logic and Calculation'!$H$3:$J$12,2,FALSE)</f>
        <v>-5</v>
      </c>
      <c r="N14" s="15"/>
    </row>
    <row r="15" spans="1:14" ht="24" customHeight="1" x14ac:dyDescent="0.3">
      <c r="A15" s="20" t="s">
        <v>114</v>
      </c>
      <c r="B15" s="4" t="s">
        <v>123</v>
      </c>
      <c r="C15" s="4" t="s">
        <v>124</v>
      </c>
      <c r="D15" s="18" t="s">
        <v>22</v>
      </c>
      <c r="E15" s="3" t="s">
        <v>125</v>
      </c>
      <c r="F15" s="3" t="s">
        <v>126</v>
      </c>
      <c r="G15" s="3" t="s">
        <v>127</v>
      </c>
      <c r="H15" s="3" t="s">
        <v>128</v>
      </c>
      <c r="I15" s="3" t="s">
        <v>129</v>
      </c>
      <c r="J15" s="3" t="s">
        <v>130</v>
      </c>
      <c r="K15" s="4" t="str">
        <f>VLOOKUP(Table1[[#This Row],[Importance]],'Logic and Calculation'!$H$3:$J$12,3,FALSE)</f>
        <v>High</v>
      </c>
      <c r="L15" s="4">
        <v>8</v>
      </c>
      <c r="M15" s="4">
        <f>VLOOKUP(Table1[[#This Row],[Importance]],'Logic and Calculation'!$H$3:$J$12,2,FALSE)</f>
        <v>-13</v>
      </c>
      <c r="N15" s="15"/>
    </row>
    <row r="16" spans="1:14" ht="24" customHeight="1" x14ac:dyDescent="0.3">
      <c r="A16" s="20" t="s">
        <v>114</v>
      </c>
      <c r="B16" s="4" t="s">
        <v>131</v>
      </c>
      <c r="C16" s="4" t="s">
        <v>132</v>
      </c>
      <c r="D16" s="18" t="s">
        <v>22</v>
      </c>
      <c r="E16" s="3" t="s">
        <v>133</v>
      </c>
      <c r="F16" s="3" t="s">
        <v>134</v>
      </c>
      <c r="G16" s="3" t="s">
        <v>135</v>
      </c>
      <c r="H16" s="3" t="s">
        <v>136</v>
      </c>
      <c r="I16" s="3" t="s">
        <v>137</v>
      </c>
      <c r="J16" s="3" t="s">
        <v>130</v>
      </c>
      <c r="K16" s="4" t="str">
        <f>VLOOKUP(Table1[[#This Row],[Importance]],'Logic and Calculation'!$H$3:$J$12,3,FALSE)</f>
        <v>Low</v>
      </c>
      <c r="L16" s="4">
        <v>4</v>
      </c>
      <c r="M16" s="4">
        <f>VLOOKUP(Table1[[#This Row],[Importance]],'Logic and Calculation'!$H$3:$J$12,2,FALSE)</f>
        <v>-5</v>
      </c>
      <c r="N16" s="15"/>
    </row>
    <row r="17" spans="1:14" ht="24" customHeight="1" x14ac:dyDescent="0.3">
      <c r="A17" s="20" t="s">
        <v>138</v>
      </c>
      <c r="B17" s="4" t="s">
        <v>139</v>
      </c>
      <c r="C17" s="4" t="s">
        <v>140</v>
      </c>
      <c r="D17" s="18" t="s">
        <v>22</v>
      </c>
      <c r="E17" s="3" t="s">
        <v>141</v>
      </c>
      <c r="F17" s="3" t="s">
        <v>142</v>
      </c>
      <c r="G17" s="3" t="s">
        <v>143</v>
      </c>
      <c r="H17" s="3" t="s">
        <v>144</v>
      </c>
      <c r="I17" s="3" t="s">
        <v>145</v>
      </c>
      <c r="J17" s="3" t="s">
        <v>146</v>
      </c>
      <c r="K17" s="4" t="str">
        <f>VLOOKUP(Table1[[#This Row],[Importance]],'Logic and Calculation'!$H$3:$J$12,3,FALSE)</f>
        <v>Medium</v>
      </c>
      <c r="L17" s="4">
        <v>7</v>
      </c>
      <c r="M17" s="4">
        <f>VLOOKUP(Table1[[#This Row],[Importance]],'Logic and Calculation'!$H$3:$J$12,2,FALSE)</f>
        <v>-11</v>
      </c>
      <c r="N17" s="15"/>
    </row>
    <row r="18" spans="1:14" ht="24" customHeight="1" x14ac:dyDescent="0.3">
      <c r="A18" s="20" t="s">
        <v>138</v>
      </c>
      <c r="B18" s="4" t="s">
        <v>147</v>
      </c>
      <c r="C18" s="4" t="s">
        <v>148</v>
      </c>
      <c r="D18" s="18" t="s">
        <v>22</v>
      </c>
      <c r="E18" s="3" t="s">
        <v>149</v>
      </c>
      <c r="F18" s="3" t="s">
        <v>150</v>
      </c>
      <c r="G18" s="3" t="s">
        <v>151</v>
      </c>
      <c r="H18" s="3" t="s">
        <v>152</v>
      </c>
      <c r="I18" s="3" t="s">
        <v>153</v>
      </c>
      <c r="J18" s="3" t="s">
        <v>154</v>
      </c>
      <c r="K18" s="4" t="str">
        <f>VLOOKUP(Table1[[#This Row],[Importance]],'Logic and Calculation'!$H$3:$J$12,3,FALSE)</f>
        <v>Low</v>
      </c>
      <c r="L18" s="4">
        <v>3</v>
      </c>
      <c r="M18" s="4">
        <f>VLOOKUP(Table1[[#This Row],[Importance]],'Logic and Calculation'!$H$3:$J$12,2,FALSE)</f>
        <v>-3</v>
      </c>
      <c r="N18" s="15"/>
    </row>
    <row r="19" spans="1:14" ht="36" customHeight="1" x14ac:dyDescent="0.3">
      <c r="A19" s="20" t="s">
        <v>138</v>
      </c>
      <c r="B19" s="4" t="s">
        <v>155</v>
      </c>
      <c r="C19" s="4" t="s">
        <v>156</v>
      </c>
      <c r="D19" s="18" t="s">
        <v>22</v>
      </c>
      <c r="E19" s="3" t="s">
        <v>157</v>
      </c>
      <c r="F19" s="3" t="s">
        <v>158</v>
      </c>
      <c r="G19" s="3" t="s">
        <v>159</v>
      </c>
      <c r="H19" s="3" t="s">
        <v>160</v>
      </c>
      <c r="I19" s="3" t="s">
        <v>161</v>
      </c>
      <c r="J19" s="3" t="s">
        <v>162</v>
      </c>
      <c r="K19" s="4" t="str">
        <f>VLOOKUP(Table1[[#This Row],[Importance]],'Logic and Calculation'!$H$3:$J$12,3,FALSE)</f>
        <v>Medium</v>
      </c>
      <c r="L19" s="4">
        <v>7</v>
      </c>
      <c r="M19" s="4">
        <f>VLOOKUP(Table1[[#This Row],[Importance]],'Logic and Calculation'!$H$3:$J$12,2,FALSE)</f>
        <v>-11</v>
      </c>
      <c r="N19" s="15"/>
    </row>
    <row r="20" spans="1:14" ht="36" customHeight="1" x14ac:dyDescent="0.3">
      <c r="A20" s="20" t="s">
        <v>138</v>
      </c>
      <c r="B20" s="4" t="s">
        <v>163</v>
      </c>
      <c r="C20" s="4" t="s">
        <v>164</v>
      </c>
      <c r="D20" s="18" t="s">
        <v>22</v>
      </c>
      <c r="E20" s="3" t="s">
        <v>165</v>
      </c>
      <c r="F20" s="3" t="s">
        <v>166</v>
      </c>
      <c r="G20" s="3" t="s">
        <v>151</v>
      </c>
      <c r="H20" s="3" t="s">
        <v>167</v>
      </c>
      <c r="I20" s="3" t="s">
        <v>168</v>
      </c>
      <c r="J20" s="3" t="s">
        <v>169</v>
      </c>
      <c r="K20" s="4" t="str">
        <f>VLOOKUP(Table1[[#This Row],[Importance]],'Logic and Calculation'!$H$3:$J$12,3,FALSE)</f>
        <v>Low</v>
      </c>
      <c r="L20" s="4">
        <v>3</v>
      </c>
      <c r="M20" s="4">
        <f>VLOOKUP(Table1[[#This Row],[Importance]],'Logic and Calculation'!$H$3:$J$12,2,FALSE)</f>
        <v>-3</v>
      </c>
      <c r="N20" s="15"/>
    </row>
    <row r="21" spans="1:14" ht="36" customHeight="1" thickBot="1" x14ac:dyDescent="0.35">
      <c r="A21" s="20" t="s">
        <v>19</v>
      </c>
      <c r="B21" s="4" t="s">
        <v>170</v>
      </c>
      <c r="C21" s="4" t="s">
        <v>171</v>
      </c>
      <c r="D21" s="18" t="s">
        <v>22</v>
      </c>
      <c r="E21" s="6" t="s">
        <v>458</v>
      </c>
      <c r="F21" s="6" t="s">
        <v>459</v>
      </c>
      <c r="G21" s="6" t="s">
        <v>460</v>
      </c>
      <c r="H21" s="6" t="s">
        <v>461</v>
      </c>
      <c r="I21" s="6" t="s">
        <v>435</v>
      </c>
      <c r="J21" s="6" t="s">
        <v>436</v>
      </c>
      <c r="K21" s="4" t="str">
        <f>VLOOKUP(Table1[[#This Row],[Importance]],'Logic and Calculation'!$H$3:$J$12,3,FALSE)</f>
        <v>Medium</v>
      </c>
      <c r="L21" s="5">
        <v>7</v>
      </c>
      <c r="M21" s="4">
        <f>VLOOKUP(Table1[[#This Row],[Importance]],'Logic and Calculation'!$H$3:$J$12,2,FALSE)</f>
        <v>-11</v>
      </c>
      <c r="N21" s="15"/>
    </row>
    <row r="22" spans="1:14" ht="36" customHeight="1" x14ac:dyDescent="0.3">
      <c r="A22" s="20" t="s">
        <v>19</v>
      </c>
      <c r="B22" s="4" t="s">
        <v>178</v>
      </c>
      <c r="C22" s="4" t="s">
        <v>179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 t="s">
        <v>177</v>
      </c>
      <c r="K22" s="4" t="str">
        <f>VLOOKUP(Table1[[#This Row],[Importance]],'Logic and Calculation'!$H$3:$J$12,3,FALSE)</f>
        <v>Medium</v>
      </c>
      <c r="L22" s="4">
        <v>7</v>
      </c>
      <c r="M22" s="4">
        <f>VLOOKUP(Table1[[#This Row],[Importance]],'Logic and Calculation'!$H$3:$J$12,2,FALSE)</f>
        <v>-11</v>
      </c>
      <c r="N22" s="15"/>
    </row>
    <row r="23" spans="1:14" ht="36" customHeight="1" x14ac:dyDescent="0.3">
      <c r="A23" s="20" t="s">
        <v>19</v>
      </c>
      <c r="B23" s="4" t="s">
        <v>185</v>
      </c>
      <c r="C23" s="4" t="s">
        <v>186</v>
      </c>
      <c r="D23" s="18" t="s">
        <v>22</v>
      </c>
      <c r="E23" s="3" t="s">
        <v>180</v>
      </c>
      <c r="F23" s="3" t="s">
        <v>181</v>
      </c>
      <c r="G23" s="3" t="s">
        <v>182</v>
      </c>
      <c r="H23" s="3" t="s">
        <v>183</v>
      </c>
      <c r="I23" s="3" t="s">
        <v>184</v>
      </c>
      <c r="J23" s="3" t="s">
        <v>177</v>
      </c>
      <c r="K23" s="4" t="str">
        <f>VLOOKUP(Table1[[#This Row],[Importance]],'Logic and Calculation'!$H$3:$J$12,3,FALSE)</f>
        <v>Medium</v>
      </c>
      <c r="L23" s="4">
        <v>5</v>
      </c>
      <c r="M23" s="4">
        <f>VLOOKUP(Table1[[#This Row],[Importance]],'Logic and Calculation'!$H$3:$J$12,2,FALSE)</f>
        <v>-7</v>
      </c>
      <c r="N23" s="15"/>
    </row>
    <row r="24" spans="1:14" ht="36" customHeight="1" x14ac:dyDescent="0.3">
      <c r="A24" s="20" t="s">
        <v>19</v>
      </c>
      <c r="B24" s="4" t="s">
        <v>192</v>
      </c>
      <c r="C24" s="4" t="s">
        <v>193</v>
      </c>
      <c r="D24" s="18" t="s">
        <v>22</v>
      </c>
      <c r="E24" s="3" t="s">
        <v>187</v>
      </c>
      <c r="F24" s="3" t="s">
        <v>188</v>
      </c>
      <c r="G24" s="3" t="s">
        <v>189</v>
      </c>
      <c r="H24" s="3" t="s">
        <v>190</v>
      </c>
      <c r="I24" s="3" t="s">
        <v>191</v>
      </c>
      <c r="J24" s="3" t="s">
        <v>177</v>
      </c>
      <c r="K24" s="4" t="str">
        <f>VLOOKUP(Table1[[#This Row],[Importance]],'Logic and Calculation'!$H$3:$J$12,3,FALSE)</f>
        <v>Medium</v>
      </c>
      <c r="L24" s="4">
        <v>5</v>
      </c>
      <c r="M24" s="4">
        <f>VLOOKUP(Table1[[#This Row],[Importance]],'Logic and Calculation'!$H$3:$J$12,2,FALSE)</f>
        <v>-7</v>
      </c>
      <c r="N24" s="15"/>
    </row>
    <row r="25" spans="1:14" ht="36" customHeight="1" x14ac:dyDescent="0.3">
      <c r="A25" s="20" t="s">
        <v>19</v>
      </c>
      <c r="B25" s="4" t="s">
        <v>199</v>
      </c>
      <c r="C25" s="4" t="s">
        <v>200</v>
      </c>
      <c r="D25" s="18" t="s">
        <v>22</v>
      </c>
      <c r="E25" s="3" t="s">
        <v>194</v>
      </c>
      <c r="F25" s="3" t="s">
        <v>195</v>
      </c>
      <c r="G25" s="3" t="s">
        <v>196</v>
      </c>
      <c r="H25" s="3" t="s">
        <v>197</v>
      </c>
      <c r="I25" s="3" t="s">
        <v>198</v>
      </c>
      <c r="J25" s="3" t="s">
        <v>59</v>
      </c>
      <c r="K25" s="4" t="str">
        <f>VLOOKUP(Table1[[#This Row],[Importance]],'Logic and Calculation'!$H$3:$J$12,3,FALSE)</f>
        <v>Low</v>
      </c>
      <c r="L25" s="4">
        <v>3</v>
      </c>
      <c r="M25" s="4">
        <f>VLOOKUP(Table1[[#This Row],[Importance]],'Logic and Calculation'!$H$3:$J$12,2,FALSE)</f>
        <v>-3</v>
      </c>
      <c r="N25" s="15"/>
    </row>
    <row r="26" spans="1:14" ht="36" customHeight="1" x14ac:dyDescent="0.3">
      <c r="A26" s="20" t="s">
        <v>19</v>
      </c>
      <c r="B26" s="4" t="s">
        <v>207</v>
      </c>
      <c r="C26" s="4" t="s">
        <v>208</v>
      </c>
      <c r="D26" s="18" t="s">
        <v>22</v>
      </c>
      <c r="E26" s="3" t="s">
        <v>201</v>
      </c>
      <c r="F26" s="3" t="s">
        <v>202</v>
      </c>
      <c r="G26" s="3" t="s">
        <v>203</v>
      </c>
      <c r="H26" s="3" t="s">
        <v>204</v>
      </c>
      <c r="I26" s="3" t="s">
        <v>205</v>
      </c>
      <c r="J26" s="3" t="s">
        <v>206</v>
      </c>
      <c r="K26" s="4" t="str">
        <f>VLOOKUP(Table1[[#This Row],[Importance]],'Logic and Calculation'!$H$3:$J$12,3,FALSE)</f>
        <v>Medium</v>
      </c>
      <c r="L26" s="4">
        <v>7</v>
      </c>
      <c r="M26" s="4">
        <f>VLOOKUP(Table1[[#This Row],[Importance]],'Logic and Calculation'!$H$3:$J$12,2,FALSE)</f>
        <v>-11</v>
      </c>
      <c r="N26" s="15"/>
    </row>
    <row r="27" spans="1:14" ht="60" customHeight="1" x14ac:dyDescent="0.3">
      <c r="A27" s="20" t="s">
        <v>19</v>
      </c>
      <c r="B27" s="4" t="s">
        <v>215</v>
      </c>
      <c r="C27" s="4" t="s">
        <v>216</v>
      </c>
      <c r="D27" s="18" t="s">
        <v>22</v>
      </c>
      <c r="E27" s="3" t="s">
        <v>209</v>
      </c>
      <c r="F27" s="3" t="s">
        <v>210</v>
      </c>
      <c r="G27" s="3" t="s">
        <v>211</v>
      </c>
      <c r="H27" s="3" t="s">
        <v>212</v>
      </c>
      <c r="I27" s="3" t="s">
        <v>213</v>
      </c>
      <c r="J27" s="3" t="s">
        <v>214</v>
      </c>
      <c r="K27" s="4" t="str">
        <f>VLOOKUP(Table1[[#This Row],[Importance]],'Logic and Calculation'!$H$3:$J$12,3,FALSE)</f>
        <v>Medium</v>
      </c>
      <c r="L27" s="4">
        <v>7</v>
      </c>
      <c r="M27" s="4">
        <f>VLOOKUP(Table1[[#This Row],[Importance]],'Logic and Calculation'!$H$3:$J$12,2,FALSE)</f>
        <v>-11</v>
      </c>
      <c r="N27" s="15"/>
    </row>
    <row r="28" spans="1:14" ht="36" customHeight="1" x14ac:dyDescent="0.3">
      <c r="A28" s="20" t="s">
        <v>19</v>
      </c>
      <c r="B28" s="4" t="s">
        <v>223</v>
      </c>
      <c r="C28" s="4" t="s">
        <v>224</v>
      </c>
      <c r="D28" s="18" t="s">
        <v>22</v>
      </c>
      <c r="E28" s="3" t="s">
        <v>217</v>
      </c>
      <c r="F28" s="3" t="s">
        <v>218</v>
      </c>
      <c r="G28" s="3" t="s">
        <v>219</v>
      </c>
      <c r="H28" s="3" t="s">
        <v>220</v>
      </c>
      <c r="I28" s="3" t="s">
        <v>221</v>
      </c>
      <c r="J28" s="3" t="s">
        <v>222</v>
      </c>
      <c r="K28" s="4" t="str">
        <f>VLOOKUP(Table1[[#This Row],[Importance]],'Logic and Calculation'!$H$3:$J$12,3,FALSE)</f>
        <v>Medium</v>
      </c>
      <c r="L28" s="4">
        <v>5</v>
      </c>
      <c r="M28" s="4">
        <f>VLOOKUP(Table1[[#This Row],[Importance]],'Logic and Calculation'!$H$3:$J$12,2,FALSE)</f>
        <v>-7</v>
      </c>
      <c r="N28" s="15"/>
    </row>
    <row r="29" spans="1:14" ht="36" customHeight="1" x14ac:dyDescent="0.3">
      <c r="A29" s="20" t="s">
        <v>19</v>
      </c>
      <c r="B29" s="4" t="s">
        <v>231</v>
      </c>
      <c r="C29" s="4" t="s">
        <v>232</v>
      </c>
      <c r="D29" s="18" t="s">
        <v>22</v>
      </c>
      <c r="E29" s="3" t="s">
        <v>225</v>
      </c>
      <c r="F29" s="3" t="s">
        <v>226</v>
      </c>
      <c r="G29" s="3" t="s">
        <v>227</v>
      </c>
      <c r="H29" s="3" t="s">
        <v>228</v>
      </c>
      <c r="I29" s="3" t="s">
        <v>229</v>
      </c>
      <c r="J29" s="3" t="s">
        <v>230</v>
      </c>
      <c r="K29" s="4" t="str">
        <f>VLOOKUP(Table1[[#This Row],[Importance]],'Logic and Calculation'!$H$3:$J$12,3,FALSE)</f>
        <v>Medium</v>
      </c>
      <c r="L29" s="4">
        <v>6</v>
      </c>
      <c r="M29" s="4">
        <f>VLOOKUP(Table1[[#This Row],[Importance]],'Logic and Calculation'!$H$3:$J$12,2,FALSE)</f>
        <v>-9</v>
      </c>
      <c r="N29" s="15"/>
    </row>
    <row r="30" spans="1:14" ht="36" customHeight="1" x14ac:dyDescent="0.3">
      <c r="A30" s="20" t="s">
        <v>19</v>
      </c>
      <c r="B30" s="4" t="s">
        <v>238</v>
      </c>
      <c r="C30" s="4" t="s">
        <v>239</v>
      </c>
      <c r="D30" s="18" t="s">
        <v>22</v>
      </c>
      <c r="E30" s="3" t="s">
        <v>233</v>
      </c>
      <c r="F30" s="3" t="s">
        <v>234</v>
      </c>
      <c r="G30" s="3" t="s">
        <v>227</v>
      </c>
      <c r="H30" s="3" t="s">
        <v>235</v>
      </c>
      <c r="I30" s="3" t="s">
        <v>236</v>
      </c>
      <c r="J30" s="3" t="s">
        <v>237</v>
      </c>
      <c r="K30" s="4" t="str">
        <f>VLOOKUP(Table1[[#This Row],[Importance]],'Logic and Calculation'!$H$3:$J$12,3,FALSE)</f>
        <v>Medium</v>
      </c>
      <c r="L30" s="4">
        <v>6</v>
      </c>
      <c r="M30" s="4">
        <f>VLOOKUP(Table1[[#This Row],[Importance]],'Logic and Calculation'!$H$3:$J$12,2,FALSE)</f>
        <v>-9</v>
      </c>
      <c r="N30" s="15"/>
    </row>
    <row r="31" spans="1:14" ht="36" customHeight="1" x14ac:dyDescent="0.3">
      <c r="A31" s="20" t="s">
        <v>19</v>
      </c>
      <c r="B31" s="4" t="s">
        <v>245</v>
      </c>
      <c r="C31" s="4" t="s">
        <v>246</v>
      </c>
      <c r="D31" s="18" t="s">
        <v>22</v>
      </c>
      <c r="E31" s="3" t="s">
        <v>240</v>
      </c>
      <c r="F31" s="3" t="s">
        <v>241</v>
      </c>
      <c r="G31" s="3" t="s">
        <v>227</v>
      </c>
      <c r="H31" s="3" t="s">
        <v>242</v>
      </c>
      <c r="I31" s="3" t="s">
        <v>243</v>
      </c>
      <c r="J31" s="3" t="s">
        <v>244</v>
      </c>
      <c r="K31" s="4" t="str">
        <f>VLOOKUP(Table1[[#This Row],[Importance]],'Logic and Calculation'!$H$3:$J$12,3,FALSE)</f>
        <v>High</v>
      </c>
      <c r="L31" s="4">
        <v>8</v>
      </c>
      <c r="M31" s="4">
        <f>VLOOKUP(Table1[[#This Row],[Importance]],'Logic and Calculation'!$H$3:$J$12,2,FALSE)</f>
        <v>-13</v>
      </c>
      <c r="N31" s="15"/>
    </row>
    <row r="32" spans="1:14" ht="24" customHeight="1" x14ac:dyDescent="0.3">
      <c r="A32" s="20" t="s">
        <v>19</v>
      </c>
      <c r="B32" s="4" t="s">
        <v>253</v>
      </c>
      <c r="C32" s="4" t="s">
        <v>254</v>
      </c>
      <c r="D32" s="18" t="s">
        <v>22</v>
      </c>
      <c r="E32" s="3" t="s">
        <v>247</v>
      </c>
      <c r="F32" s="3" t="s">
        <v>248</v>
      </c>
      <c r="G32" s="3" t="s">
        <v>249</v>
      </c>
      <c r="H32" s="3" t="s">
        <v>250</v>
      </c>
      <c r="I32" s="3" t="s">
        <v>251</v>
      </c>
      <c r="J32" s="3" t="s">
        <v>252</v>
      </c>
      <c r="K32" s="4" t="str">
        <f>VLOOKUP(Table1[[#This Row],[Importance]],'Logic and Calculation'!$H$3:$J$12,3,FALSE)</f>
        <v>Low</v>
      </c>
      <c r="L32" s="4">
        <v>4</v>
      </c>
      <c r="M32" s="4">
        <f>VLOOKUP(Table1[[#This Row],[Importance]],'Logic and Calculation'!$H$3:$J$12,2,FALSE)</f>
        <v>-5</v>
      </c>
      <c r="N32" s="15"/>
    </row>
    <row r="33" spans="1:14" ht="108" customHeight="1" x14ac:dyDescent="0.3">
      <c r="A33" s="20" t="s">
        <v>19</v>
      </c>
      <c r="B33" s="4" t="s">
        <v>262</v>
      </c>
      <c r="C33" s="4" t="s">
        <v>263</v>
      </c>
      <c r="D33" s="18" t="s">
        <v>22</v>
      </c>
      <c r="E33" s="3" t="s">
        <v>409</v>
      </c>
      <c r="F33" s="3" t="s">
        <v>410</v>
      </c>
      <c r="G33" s="3" t="s">
        <v>249</v>
      </c>
      <c r="H33" s="3" t="s">
        <v>411</v>
      </c>
      <c r="I33" s="3" t="s">
        <v>412</v>
      </c>
      <c r="J33" s="3" t="s">
        <v>413</v>
      </c>
      <c r="K33" s="4" t="str">
        <f>VLOOKUP(Table1[[#This Row],[Importance]],'Logic and Calculation'!$H$3:$J$12,3,FALSE)</f>
        <v>Medium</v>
      </c>
      <c r="L33" s="4">
        <v>6</v>
      </c>
      <c r="M33" s="4">
        <f>VLOOKUP(Table1[[#This Row],[Importance]],'Logic and Calculation'!$H$3:$J$12,2,FALSE)</f>
        <v>-9</v>
      </c>
      <c r="N33" s="15"/>
    </row>
    <row r="34" spans="1:14" ht="60" customHeight="1" x14ac:dyDescent="0.3">
      <c r="A34" s="20" t="s">
        <v>19</v>
      </c>
      <c r="B34" s="4" t="s">
        <v>270</v>
      </c>
      <c r="C34" s="4" t="s">
        <v>271</v>
      </c>
      <c r="D34" s="18" t="s">
        <v>22</v>
      </c>
      <c r="E34" s="3" t="s">
        <v>416</v>
      </c>
      <c r="F34" s="3" t="s">
        <v>417</v>
      </c>
      <c r="G34" s="3" t="s">
        <v>227</v>
      </c>
      <c r="H34" s="3" t="s">
        <v>418</v>
      </c>
      <c r="I34" s="3" t="s">
        <v>419</v>
      </c>
      <c r="J34" s="3" t="s">
        <v>420</v>
      </c>
      <c r="K34" s="4" t="str">
        <f>VLOOKUP(Table1[[#This Row],[Importance]],'Logic and Calculation'!$H$3:$J$12,3,FALSE)</f>
        <v>Medium</v>
      </c>
      <c r="L34" s="4">
        <v>5</v>
      </c>
      <c r="M34" s="4">
        <f>VLOOKUP(Table1[[#This Row],[Importance]],'Logic and Calculation'!$H$3:$J$12,2,FALSE)</f>
        <v>-7</v>
      </c>
      <c r="N34" s="15"/>
    </row>
    <row r="35" spans="1:14" ht="48" customHeight="1" x14ac:dyDescent="0.3">
      <c r="A35" s="20" t="s">
        <v>19</v>
      </c>
      <c r="B35" s="4" t="s">
        <v>278</v>
      </c>
      <c r="C35" s="4" t="s">
        <v>279</v>
      </c>
      <c r="D35" s="18" t="s">
        <v>22</v>
      </c>
      <c r="E35" s="3" t="s">
        <v>423</v>
      </c>
      <c r="F35" s="3" t="s">
        <v>424</v>
      </c>
      <c r="G35" s="3" t="s">
        <v>227</v>
      </c>
      <c r="H35" s="3" t="s">
        <v>425</v>
      </c>
      <c r="I35" s="3" t="s">
        <v>426</v>
      </c>
      <c r="J35" s="3" t="s">
        <v>427</v>
      </c>
      <c r="K35" s="4" t="str">
        <f>VLOOKUP(Table1[[#This Row],[Importance]],'Logic and Calculation'!$H$3:$J$12,3,FALSE)</f>
        <v>Low</v>
      </c>
      <c r="L35" s="4">
        <v>4</v>
      </c>
      <c r="M35" s="4">
        <f>VLOOKUP(Table1[[#This Row],[Importance]],'Logic and Calculation'!$H$3:$J$12,2,FALSE)</f>
        <v>-5</v>
      </c>
      <c r="N35" s="15"/>
    </row>
    <row r="36" spans="1:14" ht="36" customHeight="1" x14ac:dyDescent="0.3">
      <c r="A36" s="20" t="s">
        <v>19</v>
      </c>
      <c r="B36" s="4" t="s">
        <v>286</v>
      </c>
      <c r="C36" s="4" t="s">
        <v>287</v>
      </c>
      <c r="D36" s="18" t="s">
        <v>22</v>
      </c>
      <c r="E36" s="3" t="s">
        <v>430</v>
      </c>
      <c r="F36" s="3" t="s">
        <v>431</v>
      </c>
      <c r="G36" s="3" t="s">
        <v>227</v>
      </c>
      <c r="H36" s="3" t="s">
        <v>432</v>
      </c>
      <c r="I36" s="3" t="s">
        <v>433</v>
      </c>
      <c r="J36" s="3" t="s">
        <v>434</v>
      </c>
      <c r="K36" s="4" t="str">
        <f>VLOOKUP(Table1[[#This Row],[Importance]],'Logic and Calculation'!$H$3:$J$12,3,FALSE)</f>
        <v>Medium</v>
      </c>
      <c r="L36" s="4">
        <v>5</v>
      </c>
      <c r="M36" s="4">
        <f>VLOOKUP(Table1[[#This Row],[Importance]],'Logic and Calculation'!$H$3:$J$12,2,FALSE)</f>
        <v>-7</v>
      </c>
      <c r="N36" s="15"/>
    </row>
    <row r="37" spans="1:14" ht="36" customHeight="1" x14ac:dyDescent="0.3">
      <c r="A37" s="20" t="s">
        <v>463</v>
      </c>
      <c r="B37" s="4" t="s">
        <v>294</v>
      </c>
      <c r="C37" s="4" t="s">
        <v>295</v>
      </c>
      <c r="D37" s="18" t="s">
        <v>22</v>
      </c>
      <c r="E37" s="3" t="s">
        <v>255</v>
      </c>
      <c r="F37" s="3" t="s">
        <v>256</v>
      </c>
      <c r="G37" s="3" t="s">
        <v>257</v>
      </c>
      <c r="H37" s="3" t="s">
        <v>258</v>
      </c>
      <c r="I37" s="3" t="s">
        <v>259</v>
      </c>
      <c r="J37" s="3" t="s">
        <v>260</v>
      </c>
      <c r="K37" s="4" t="str">
        <f>VLOOKUP(Table1[[#This Row],[Importance]],'Logic and Calculation'!$H$3:$J$12,3,FALSE)</f>
        <v>High</v>
      </c>
      <c r="L37" s="4">
        <v>8</v>
      </c>
      <c r="M37" s="4">
        <f>VLOOKUP(Table1[[#This Row],[Importance]],'Logic and Calculation'!$H$3:$J$12,2,FALSE)</f>
        <v>-13</v>
      </c>
      <c r="N37" s="15"/>
    </row>
    <row r="38" spans="1:14" ht="36" customHeight="1" x14ac:dyDescent="0.3">
      <c r="A38" s="20" t="s">
        <v>261</v>
      </c>
      <c r="B38" s="4" t="s">
        <v>303</v>
      </c>
      <c r="C38" s="4" t="s">
        <v>304</v>
      </c>
      <c r="D38" s="18" t="s">
        <v>22</v>
      </c>
      <c r="E38" s="3" t="s">
        <v>264</v>
      </c>
      <c r="F38" s="3" t="s">
        <v>265</v>
      </c>
      <c r="G38" s="3" t="s">
        <v>266</v>
      </c>
      <c r="H38" s="3" t="s">
        <v>267</v>
      </c>
      <c r="I38" s="3" t="s">
        <v>268</v>
      </c>
      <c r="J38" s="3" t="s">
        <v>269</v>
      </c>
      <c r="K38" s="4" t="str">
        <f>VLOOKUP(Table1[[#This Row],[Importance]],'Logic and Calculation'!$H$3:$J$12,3,FALSE)</f>
        <v>High</v>
      </c>
      <c r="L38" s="4">
        <v>9</v>
      </c>
      <c r="M38" s="4">
        <f>VLOOKUP(Table1[[#This Row],[Importance]],'Logic and Calculation'!$H$3:$J$12,2,FALSE)</f>
        <v>-15</v>
      </c>
      <c r="N38" s="15"/>
    </row>
    <row r="39" spans="1:14" ht="48" customHeight="1" x14ac:dyDescent="0.3">
      <c r="A39" s="20" t="s">
        <v>261</v>
      </c>
      <c r="B39" s="4" t="s">
        <v>311</v>
      </c>
      <c r="C39" s="4" t="s">
        <v>312</v>
      </c>
      <c r="D39" s="18" t="s">
        <v>22</v>
      </c>
      <c r="E39" s="3" t="s">
        <v>272</v>
      </c>
      <c r="F39" s="3" t="s">
        <v>273</v>
      </c>
      <c r="G39" s="3" t="s">
        <v>274</v>
      </c>
      <c r="H39" s="3" t="s">
        <v>275</v>
      </c>
      <c r="I39" s="3" t="s">
        <v>276</v>
      </c>
      <c r="J39" s="3" t="s">
        <v>277</v>
      </c>
      <c r="K39" s="4" t="str">
        <f>VLOOKUP(Table1[[#This Row],[Importance]],'Logic and Calculation'!$H$3:$J$12,3,FALSE)</f>
        <v>Medium</v>
      </c>
      <c r="L39" s="4">
        <v>6</v>
      </c>
      <c r="M39" s="4">
        <f>VLOOKUP(Table1[[#This Row],[Importance]],'Logic and Calculation'!$H$3:$J$12,2,FALSE)</f>
        <v>-9</v>
      </c>
      <c r="N39" s="15"/>
    </row>
    <row r="40" spans="1:14" ht="36" customHeight="1" x14ac:dyDescent="0.3">
      <c r="A40" s="20" t="s">
        <v>261</v>
      </c>
      <c r="B40" s="4" t="s">
        <v>319</v>
      </c>
      <c r="C40" s="4" t="s">
        <v>320</v>
      </c>
      <c r="D40" s="18" t="s">
        <v>22</v>
      </c>
      <c r="E40" s="3" t="s">
        <v>280</v>
      </c>
      <c r="F40" s="3" t="s">
        <v>281</v>
      </c>
      <c r="G40" s="3" t="s">
        <v>282</v>
      </c>
      <c r="H40" s="3" t="s">
        <v>283</v>
      </c>
      <c r="I40" s="3" t="s">
        <v>284</v>
      </c>
      <c r="J40" s="3" t="s">
        <v>285</v>
      </c>
      <c r="K40" s="4" t="str">
        <f>VLOOKUP(Table1[[#This Row],[Importance]],'Logic and Calculation'!$H$3:$J$12,3,FALSE)</f>
        <v>High</v>
      </c>
      <c r="L40" s="4">
        <v>8</v>
      </c>
      <c r="M40" s="4">
        <f>VLOOKUP(Table1[[#This Row],[Importance]],'Logic and Calculation'!$H$3:$J$12,2,FALSE)</f>
        <v>-13</v>
      </c>
      <c r="N40" s="15"/>
    </row>
    <row r="41" spans="1:14" ht="36" customHeight="1" x14ac:dyDescent="0.3">
      <c r="A41" s="20" t="s">
        <v>261</v>
      </c>
      <c r="B41" s="4" t="s">
        <v>327</v>
      </c>
      <c r="C41" s="4" t="s">
        <v>328</v>
      </c>
      <c r="D41" s="18" t="s">
        <v>22</v>
      </c>
      <c r="E41" s="3" t="s">
        <v>288</v>
      </c>
      <c r="F41" s="3" t="s">
        <v>289</v>
      </c>
      <c r="G41" s="3" t="s">
        <v>290</v>
      </c>
      <c r="H41" s="3" t="s">
        <v>291</v>
      </c>
      <c r="I41" s="3" t="s">
        <v>292</v>
      </c>
      <c r="J41" s="3" t="s">
        <v>293</v>
      </c>
      <c r="K41" s="4" t="str">
        <f>VLOOKUP(Table1[[#This Row],[Importance]],'Logic and Calculation'!$H$3:$J$12,3,FALSE)</f>
        <v>Medium</v>
      </c>
      <c r="L41" s="4">
        <v>5</v>
      </c>
      <c r="M41" s="4">
        <f>VLOOKUP(Table1[[#This Row],[Importance]],'Logic and Calculation'!$H$3:$J$12,2,FALSE)</f>
        <v>-7</v>
      </c>
      <c r="N41" s="15"/>
    </row>
    <row r="42" spans="1:14" ht="36" customHeight="1" x14ac:dyDescent="0.3">
      <c r="A42" s="20" t="s">
        <v>261</v>
      </c>
      <c r="B42" s="4" t="s">
        <v>335</v>
      </c>
      <c r="C42" s="4" t="s">
        <v>464</v>
      </c>
      <c r="D42" s="18" t="s">
        <v>22</v>
      </c>
      <c r="E42" s="3" t="s">
        <v>296</v>
      </c>
      <c r="F42" s="3" t="s">
        <v>297</v>
      </c>
      <c r="G42" s="3" t="s">
        <v>298</v>
      </c>
      <c r="H42" s="3" t="s">
        <v>299</v>
      </c>
      <c r="I42" s="3" t="s">
        <v>300</v>
      </c>
      <c r="J42" s="3" t="s">
        <v>301</v>
      </c>
      <c r="K42" s="4" t="str">
        <f>VLOOKUP(Table1[[#This Row],[Importance]],'Logic and Calculation'!$H$3:$J$12,3,FALSE)</f>
        <v>Medium</v>
      </c>
      <c r="L42" s="4">
        <v>5</v>
      </c>
      <c r="M42" s="4">
        <f>VLOOKUP(Table1[[#This Row],[Importance]],'Logic and Calculation'!$H$3:$J$12,2,FALSE)</f>
        <v>-7</v>
      </c>
      <c r="N42" s="15"/>
    </row>
    <row r="43" spans="1:14" ht="24" customHeight="1" x14ac:dyDescent="0.3">
      <c r="A43" s="20" t="s">
        <v>302</v>
      </c>
      <c r="B43" s="4" t="s">
        <v>343</v>
      </c>
      <c r="C43" s="4" t="s">
        <v>344</v>
      </c>
      <c r="D43" s="18" t="s">
        <v>22</v>
      </c>
      <c r="E43" s="3" t="s">
        <v>305</v>
      </c>
      <c r="F43" s="3" t="s">
        <v>306</v>
      </c>
      <c r="G43" s="3" t="s">
        <v>307</v>
      </c>
      <c r="H43" s="3" t="s">
        <v>308</v>
      </c>
      <c r="I43" s="3" t="s">
        <v>309</v>
      </c>
      <c r="J43" s="3" t="s">
        <v>310</v>
      </c>
      <c r="K43" s="4" t="str">
        <f>VLOOKUP(Table1[[#This Row],[Importance]],'Logic and Calculation'!$H$3:$J$12,3,FALSE)</f>
        <v>Medium</v>
      </c>
      <c r="L43" s="4">
        <v>6</v>
      </c>
      <c r="M43" s="4">
        <f>VLOOKUP(Table1[[#This Row],[Importance]],'Logic and Calculation'!$H$3:$J$12,2,FALSE)</f>
        <v>-9</v>
      </c>
      <c r="N43" s="15"/>
    </row>
    <row r="44" spans="1:14" ht="36" customHeight="1" x14ac:dyDescent="0.3">
      <c r="A44" s="20" t="s">
        <v>302</v>
      </c>
      <c r="B44" s="4" t="s">
        <v>351</v>
      </c>
      <c r="C44" s="4" t="s">
        <v>352</v>
      </c>
      <c r="D44" s="18" t="s">
        <v>22</v>
      </c>
      <c r="E44" s="3" t="s">
        <v>313</v>
      </c>
      <c r="F44" s="3" t="s">
        <v>314</v>
      </c>
      <c r="G44" s="3" t="s">
        <v>315</v>
      </c>
      <c r="H44" s="3" t="s">
        <v>316</v>
      </c>
      <c r="I44" s="3" t="s">
        <v>317</v>
      </c>
      <c r="J44" s="3" t="s">
        <v>318</v>
      </c>
      <c r="K44" s="4" t="str">
        <f>VLOOKUP(Table1[[#This Row],[Importance]],'Logic and Calculation'!$H$3:$J$12,3,FALSE)</f>
        <v>Medium</v>
      </c>
      <c r="L44" s="4">
        <v>6</v>
      </c>
      <c r="M44" s="4">
        <f>VLOOKUP(Table1[[#This Row],[Importance]],'Logic and Calculation'!$H$3:$J$12,2,FALSE)</f>
        <v>-9</v>
      </c>
      <c r="N44" s="15"/>
    </row>
    <row r="45" spans="1:14" ht="36" customHeight="1" x14ac:dyDescent="0.3">
      <c r="A45" s="20" t="s">
        <v>302</v>
      </c>
      <c r="B45" s="4" t="s">
        <v>359</v>
      </c>
      <c r="C45" s="4" t="s">
        <v>360</v>
      </c>
      <c r="D45" s="18" t="s">
        <v>22</v>
      </c>
      <c r="E45" s="3" t="s">
        <v>321</v>
      </c>
      <c r="F45" s="3" t="s">
        <v>322</v>
      </c>
      <c r="G45" s="3" t="s">
        <v>323</v>
      </c>
      <c r="H45" s="3" t="s">
        <v>324</v>
      </c>
      <c r="I45" s="3" t="s">
        <v>325</v>
      </c>
      <c r="J45" s="3" t="s">
        <v>326</v>
      </c>
      <c r="K45" s="4" t="str">
        <f>VLOOKUP(Table1[[#This Row],[Importance]],'Logic and Calculation'!$H$3:$J$12,3,FALSE)</f>
        <v>Medium</v>
      </c>
      <c r="L45" s="4">
        <v>6</v>
      </c>
      <c r="M45" s="4">
        <f>VLOOKUP(Table1[[#This Row],[Importance]],'Logic and Calculation'!$H$3:$J$12,2,FALSE)</f>
        <v>-9</v>
      </c>
      <c r="N45" s="15"/>
    </row>
    <row r="46" spans="1:14" ht="48" customHeight="1" x14ac:dyDescent="0.3">
      <c r="A46" s="20" t="s">
        <v>302</v>
      </c>
      <c r="B46" s="4" t="s">
        <v>365</v>
      </c>
      <c r="C46" s="4" t="s">
        <v>366</v>
      </c>
      <c r="D46" s="18" t="s">
        <v>22</v>
      </c>
      <c r="E46" s="3" t="s">
        <v>329</v>
      </c>
      <c r="F46" s="3" t="s">
        <v>330</v>
      </c>
      <c r="G46" s="3" t="s">
        <v>331</v>
      </c>
      <c r="H46" s="3" t="s">
        <v>332</v>
      </c>
      <c r="I46" s="3" t="s">
        <v>333</v>
      </c>
      <c r="J46" s="3" t="s">
        <v>334</v>
      </c>
      <c r="K46" s="4" t="str">
        <f>VLOOKUP(Table1[[#This Row],[Importance]],'Logic and Calculation'!$H$3:$J$12,3,FALSE)</f>
        <v>Medium</v>
      </c>
      <c r="L46" s="4">
        <v>5</v>
      </c>
      <c r="M46" s="4">
        <f>VLOOKUP(Table1[[#This Row],[Importance]],'Logic and Calculation'!$H$3:$J$12,2,FALSE)</f>
        <v>-7</v>
      </c>
      <c r="N46" s="15"/>
    </row>
    <row r="47" spans="1:14" ht="36" customHeight="1" x14ac:dyDescent="0.3">
      <c r="A47" s="20" t="s">
        <v>302</v>
      </c>
      <c r="B47" s="4" t="s">
        <v>373</v>
      </c>
      <c r="C47" s="4" t="s">
        <v>374</v>
      </c>
      <c r="D47" s="18" t="s">
        <v>22</v>
      </c>
      <c r="E47" s="3" t="s">
        <v>336</v>
      </c>
      <c r="F47" s="3" t="s">
        <v>337</v>
      </c>
      <c r="G47" s="3" t="s">
        <v>338</v>
      </c>
      <c r="H47" s="3" t="s">
        <v>339</v>
      </c>
      <c r="I47" s="3" t="s">
        <v>340</v>
      </c>
      <c r="J47" s="3" t="s">
        <v>341</v>
      </c>
      <c r="K47" s="4" t="str">
        <f>VLOOKUP(Table1[[#This Row],[Importance]],'Logic and Calculation'!$H$3:$J$12,3,FALSE)</f>
        <v>Medium</v>
      </c>
      <c r="L47" s="4">
        <v>7</v>
      </c>
      <c r="M47" s="4">
        <f>VLOOKUP(Table1[[#This Row],[Importance]],'Logic and Calculation'!$H$3:$J$12,2,FALSE)</f>
        <v>-11</v>
      </c>
      <c r="N47" s="15"/>
    </row>
    <row r="48" spans="1:14" ht="24" customHeight="1" x14ac:dyDescent="0.3">
      <c r="A48" s="20" t="s">
        <v>342</v>
      </c>
      <c r="B48" s="4" t="s">
        <v>381</v>
      </c>
      <c r="C48" s="4" t="s">
        <v>382</v>
      </c>
      <c r="D48" s="18" t="s">
        <v>22</v>
      </c>
      <c r="E48" s="3" t="s">
        <v>345</v>
      </c>
      <c r="F48" s="3" t="s">
        <v>346</v>
      </c>
      <c r="G48" s="3" t="s">
        <v>347</v>
      </c>
      <c r="H48" s="3" t="s">
        <v>348</v>
      </c>
      <c r="I48" s="3" t="s">
        <v>349</v>
      </c>
      <c r="J48" s="3" t="s">
        <v>350</v>
      </c>
      <c r="K48" s="4" t="str">
        <f>VLOOKUP(Table1[[#This Row],[Importance]],'Logic and Calculation'!$H$3:$J$12,3,FALSE)</f>
        <v>Medium</v>
      </c>
      <c r="L48" s="4">
        <v>7</v>
      </c>
      <c r="M48" s="4">
        <f>VLOOKUP(Table1[[#This Row],[Importance]],'Logic and Calculation'!$H$3:$J$12,2,FALSE)</f>
        <v>-11</v>
      </c>
      <c r="N48" s="15"/>
    </row>
    <row r="49" spans="1:14" ht="48" customHeight="1" x14ac:dyDescent="0.3">
      <c r="A49" s="20" t="s">
        <v>342</v>
      </c>
      <c r="B49" s="4" t="s">
        <v>389</v>
      </c>
      <c r="C49" s="4" t="s">
        <v>390</v>
      </c>
      <c r="D49" s="18" t="s">
        <v>22</v>
      </c>
      <c r="E49" s="3" t="s">
        <v>353</v>
      </c>
      <c r="F49" s="3" t="s">
        <v>354</v>
      </c>
      <c r="G49" s="3" t="s">
        <v>355</v>
      </c>
      <c r="H49" s="3" t="s">
        <v>356</v>
      </c>
      <c r="I49" s="3" t="s">
        <v>357</v>
      </c>
      <c r="J49" s="3" t="s">
        <v>358</v>
      </c>
      <c r="K49" s="4" t="str">
        <f>VLOOKUP(Table1[[#This Row],[Importance]],'Logic and Calculation'!$H$3:$J$12,3,FALSE)</f>
        <v>Medium</v>
      </c>
      <c r="L49" s="4">
        <v>6</v>
      </c>
      <c r="M49" s="4">
        <f>VLOOKUP(Table1[[#This Row],[Importance]],'Logic and Calculation'!$H$3:$J$12,2,FALSE)</f>
        <v>-9</v>
      </c>
      <c r="N49" s="15"/>
    </row>
    <row r="50" spans="1:14" ht="24" customHeight="1" x14ac:dyDescent="0.3">
      <c r="A50" s="20" t="s">
        <v>342</v>
      </c>
      <c r="B50" s="4" t="s">
        <v>391</v>
      </c>
      <c r="C50" s="4" t="s">
        <v>392</v>
      </c>
      <c r="D50" s="18" t="s">
        <v>22</v>
      </c>
      <c r="E50" s="3" t="s">
        <v>361</v>
      </c>
      <c r="F50" s="3" t="s">
        <v>362</v>
      </c>
      <c r="G50" s="3" t="s">
        <v>331</v>
      </c>
      <c r="H50" s="3" t="s">
        <v>363</v>
      </c>
      <c r="I50" s="3" t="s">
        <v>364</v>
      </c>
      <c r="J50" s="3" t="s">
        <v>358</v>
      </c>
      <c r="K50" s="4" t="str">
        <f>VLOOKUP(Table1[[#This Row],[Importance]],'Logic and Calculation'!$H$3:$J$12,3,FALSE)</f>
        <v>Medium</v>
      </c>
      <c r="L50" s="4">
        <v>6</v>
      </c>
      <c r="M50" s="4">
        <f>VLOOKUP(Table1[[#This Row],[Importance]],'Logic and Calculation'!$H$3:$J$12,2,FALSE)</f>
        <v>-9</v>
      </c>
      <c r="N50" s="15"/>
    </row>
    <row r="51" spans="1:14" ht="36" customHeight="1" x14ac:dyDescent="0.3">
      <c r="A51" s="20" t="s">
        <v>19</v>
      </c>
      <c r="B51" s="4" t="s">
        <v>399</v>
      </c>
      <c r="C51" s="4" t="s">
        <v>400</v>
      </c>
      <c r="D51" s="18" t="s">
        <v>22</v>
      </c>
      <c r="E51" s="3" t="s">
        <v>367</v>
      </c>
      <c r="F51" s="3" t="s">
        <v>368</v>
      </c>
      <c r="G51" s="3" t="s">
        <v>369</v>
      </c>
      <c r="H51" s="3" t="s">
        <v>370</v>
      </c>
      <c r="I51" s="3" t="s">
        <v>371</v>
      </c>
      <c r="J51" s="3" t="s">
        <v>372</v>
      </c>
      <c r="K51" s="4" t="str">
        <f>VLOOKUP(Table1[[#This Row],[Importance]],'Logic and Calculation'!$H$3:$J$12,3,FALSE)</f>
        <v>Medium</v>
      </c>
      <c r="L51" s="4">
        <v>6</v>
      </c>
      <c r="M51" s="4">
        <f>VLOOKUP(Table1[[#This Row],[Importance]],'Logic and Calculation'!$H$3:$J$12,2,FALSE)</f>
        <v>-9</v>
      </c>
      <c r="N51" s="15"/>
    </row>
    <row r="52" spans="1:14" ht="36" customHeight="1" x14ac:dyDescent="0.3">
      <c r="A52" s="20" t="s">
        <v>19</v>
      </c>
      <c r="B52" s="4" t="s">
        <v>407</v>
      </c>
      <c r="C52" s="4" t="s">
        <v>408</v>
      </c>
      <c r="D52" s="18" t="s">
        <v>22</v>
      </c>
      <c r="E52" s="3" t="s">
        <v>375</v>
      </c>
      <c r="F52" s="3" t="s">
        <v>376</v>
      </c>
      <c r="G52" s="3" t="s">
        <v>377</v>
      </c>
      <c r="H52" s="3" t="s">
        <v>378</v>
      </c>
      <c r="I52" s="3" t="s">
        <v>379</v>
      </c>
      <c r="J52" s="3" t="s">
        <v>380</v>
      </c>
      <c r="K52" s="4" t="str">
        <f>VLOOKUP(Table1[[#This Row],[Importance]],'Logic and Calculation'!$H$3:$J$12,3,FALSE)</f>
        <v>Critical</v>
      </c>
      <c r="L52" s="4">
        <v>10</v>
      </c>
      <c r="M52" s="4">
        <f>VLOOKUP(Table1[[#This Row],[Importance]],'Logic and Calculation'!$H$3:$J$12,2,FALSE)</f>
        <v>-18</v>
      </c>
      <c r="N52" s="15"/>
    </row>
    <row r="53" spans="1:14" ht="36" customHeight="1" x14ac:dyDescent="0.3">
      <c r="A53" s="20" t="s">
        <v>19</v>
      </c>
      <c r="B53" s="4" t="s">
        <v>414</v>
      </c>
      <c r="C53" s="4" t="s">
        <v>415</v>
      </c>
      <c r="D53" s="18" t="s">
        <v>22</v>
      </c>
      <c r="E53" s="3" t="s">
        <v>383</v>
      </c>
      <c r="F53" s="3" t="s">
        <v>384</v>
      </c>
      <c r="G53" s="3" t="s">
        <v>385</v>
      </c>
      <c r="H53" s="3" t="s">
        <v>386</v>
      </c>
      <c r="I53" s="3" t="s">
        <v>387</v>
      </c>
      <c r="J53" s="3" t="s">
        <v>388</v>
      </c>
      <c r="K53" s="4" t="str">
        <f>VLOOKUP(Table1[[#This Row],[Importance]],'Logic and Calculation'!$H$3:$J$12,3,FALSE)</f>
        <v>High</v>
      </c>
      <c r="L53" s="4">
        <v>8</v>
      </c>
      <c r="M53" s="4">
        <f>VLOOKUP(Table1[[#This Row],[Importance]],'Logic and Calculation'!$H$3:$J$12,2,FALSE)</f>
        <v>-13</v>
      </c>
      <c r="N53" s="15"/>
    </row>
    <row r="54" spans="1:14" ht="36" customHeight="1" x14ac:dyDescent="0.3">
      <c r="A54" s="20" t="s">
        <v>19</v>
      </c>
      <c r="B54" s="4" t="s">
        <v>421</v>
      </c>
      <c r="C54" s="4" t="s">
        <v>422</v>
      </c>
      <c r="D54" s="18" t="s">
        <v>22</v>
      </c>
      <c r="E54" s="3" t="s">
        <v>393</v>
      </c>
      <c r="F54" s="3" t="s">
        <v>394</v>
      </c>
      <c r="G54" s="3" t="s">
        <v>395</v>
      </c>
      <c r="H54" s="3" t="s">
        <v>396</v>
      </c>
      <c r="I54" s="3" t="s">
        <v>397</v>
      </c>
      <c r="J54" s="3" t="s">
        <v>398</v>
      </c>
      <c r="K54" s="4" t="str">
        <f>VLOOKUP(Table1[[#This Row],[Importance]],'Logic and Calculation'!$H$3:$J$12,3,FALSE)</f>
        <v>Medium</v>
      </c>
      <c r="L54" s="4">
        <v>5</v>
      </c>
      <c r="M54" s="4">
        <f>VLOOKUP(Table1[[#This Row],[Importance]],'Logic and Calculation'!$H$3:$J$12,2,FALSE)</f>
        <v>-7</v>
      </c>
      <c r="N54" s="15"/>
    </row>
    <row r="55" spans="1:14" ht="36" customHeight="1" x14ac:dyDescent="0.3">
      <c r="A55" s="20" t="s">
        <v>19</v>
      </c>
      <c r="B55" s="4" t="s">
        <v>428</v>
      </c>
      <c r="C55" s="4" t="s">
        <v>429</v>
      </c>
      <c r="D55" s="18" t="s">
        <v>22</v>
      </c>
      <c r="E55" s="3" t="s">
        <v>401</v>
      </c>
      <c r="F55" s="3" t="s">
        <v>402</v>
      </c>
      <c r="G55" s="3" t="s">
        <v>403</v>
      </c>
      <c r="H55" s="3" t="s">
        <v>404</v>
      </c>
      <c r="I55" s="3" t="s">
        <v>405</v>
      </c>
      <c r="J55" s="3" t="s">
        <v>406</v>
      </c>
      <c r="K55" s="4" t="str">
        <f>VLOOKUP(Table1[[#This Row],[Importance]],'Logic and Calculation'!$H$3:$J$12,3,FALSE)</f>
        <v>High</v>
      </c>
      <c r="L55" s="4">
        <v>8</v>
      </c>
      <c r="M55" s="4">
        <f>VLOOKUP(Table1[[#This Row],[Importance]],'Logic and Calculation'!$H$3:$J$12,2,FALSE)</f>
        <v>-13</v>
      </c>
      <c r="N55" s="15"/>
    </row>
  </sheetData>
  <conditionalFormatting sqref="D2:D55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55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61"/>
  <sheetViews>
    <sheetView workbookViewId="0">
      <pane ySplit="7" topLeftCell="A8" activePane="bottomLeft" state="frozen"/>
      <selection pane="bottomLeft" activeCell="H30" sqref="H30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437</v>
      </c>
    </row>
    <row r="2" spans="1:13" x14ac:dyDescent="0.3">
      <c r="A2" t="s">
        <v>438</v>
      </c>
      <c r="B2">
        <v>100</v>
      </c>
      <c r="D2" t="s">
        <v>439</v>
      </c>
      <c r="H2" s="12" t="s">
        <v>16</v>
      </c>
      <c r="I2" s="12" t="s">
        <v>440</v>
      </c>
      <c r="J2" s="12" t="s">
        <v>441</v>
      </c>
      <c r="L2" s="28" t="s">
        <v>1</v>
      </c>
      <c r="M2" s="28" t="s">
        <v>442</v>
      </c>
    </row>
    <row r="3" spans="1:13" x14ac:dyDescent="0.3">
      <c r="A3" t="s">
        <v>443</v>
      </c>
      <c r="B3">
        <f>SUM(F8:F999)</f>
        <v>0</v>
      </c>
      <c r="D3" t="s">
        <v>470</v>
      </c>
      <c r="H3">
        <v>10</v>
      </c>
      <c r="I3">
        <v>-18</v>
      </c>
      <c r="J3" t="s">
        <v>444</v>
      </c>
      <c r="L3" t="s">
        <v>462</v>
      </c>
      <c r="M3" t="s">
        <v>445</v>
      </c>
    </row>
    <row r="4" spans="1:13" x14ac:dyDescent="0.3">
      <c r="A4" t="s">
        <v>446</v>
      </c>
      <c r="B4">
        <f>B2+B3</f>
        <v>100</v>
      </c>
      <c r="D4" t="s">
        <v>447</v>
      </c>
      <c r="H4">
        <v>9</v>
      </c>
      <c r="I4">
        <v>-15</v>
      </c>
      <c r="J4" t="s">
        <v>448</v>
      </c>
      <c r="L4" t="s">
        <v>449</v>
      </c>
      <c r="M4" t="s">
        <v>450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451</v>
      </c>
      <c r="H5">
        <v>8</v>
      </c>
      <c r="I5">
        <v>-13</v>
      </c>
      <c r="J5" t="s">
        <v>448</v>
      </c>
      <c r="L5" t="s">
        <v>452</v>
      </c>
      <c r="M5" t="s">
        <v>453</v>
      </c>
    </row>
    <row r="6" spans="1:13" x14ac:dyDescent="0.3">
      <c r="A6" t="s">
        <v>454</v>
      </c>
      <c r="B6" t="s">
        <v>455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Framework_Reference!M2</f>
        <v>-7</v>
      </c>
      <c r="F8">
        <f t="shared" ref="F8:F39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Framework_Reference!M3</f>
        <v>-7</v>
      </c>
      <c r="F9">
        <f t="shared" si="0"/>
        <v>0</v>
      </c>
      <c r="H9">
        <v>4</v>
      </c>
      <c r="I9">
        <v>-5</v>
      </c>
      <c r="J9" t="s">
        <v>456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Framework_Reference!M4</f>
        <v>-7</v>
      </c>
      <c r="F10">
        <f t="shared" si="0"/>
        <v>0</v>
      </c>
      <c r="H10">
        <v>3</v>
      </c>
      <c r="I10">
        <v>-3</v>
      </c>
      <c r="J10" t="s">
        <v>456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Framework_Reference!M5</f>
        <v>-18</v>
      </c>
      <c r="F11">
        <f t="shared" si="0"/>
        <v>0</v>
      </c>
      <c r="H11">
        <v>2</v>
      </c>
      <c r="I11">
        <v>-2</v>
      </c>
      <c r="J11" t="s">
        <v>457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Framework_Reference!M6</f>
        <v>-18</v>
      </c>
      <c r="F12">
        <f t="shared" si="0"/>
        <v>0</v>
      </c>
      <c r="H12">
        <v>1</v>
      </c>
      <c r="I12">
        <v>-1</v>
      </c>
      <c r="J12" t="s">
        <v>457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Framework_Reference!M7</f>
        <v>-11</v>
      </c>
      <c r="F13">
        <f t="shared" si="0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Framework_Reference!M8</f>
        <v>-11</v>
      </c>
      <c r="F14">
        <f t="shared" si="0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Framework_Reference!M9</f>
        <v>-11</v>
      </c>
      <c r="F15">
        <f t="shared" si="0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Campaign VAM Baseline</v>
      </c>
      <c r="D16" t="str">
        <f>Framework_Reference!D10</f>
        <v>OK</v>
      </c>
      <c r="E16">
        <f>Framework_Reference!M10</f>
        <v>-13</v>
      </c>
      <c r="F16">
        <f t="shared" si="0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Shared VAM Baseline</v>
      </c>
      <c r="D17" t="str">
        <f>Framework_Reference!D11</f>
        <v>OK</v>
      </c>
      <c r="E17">
        <f>Framework_Reference!M11</f>
        <v>-13</v>
      </c>
      <c r="F17">
        <f t="shared" si="0"/>
        <v>0</v>
      </c>
    </row>
    <row r="18" spans="1:6" x14ac:dyDescent="0.3">
      <c r="A18" t="str">
        <f>Framework_Reference!B12</f>
        <v>C011</v>
      </c>
      <c r="B18" t="str">
        <f>Framework_Reference!A12</f>
        <v>Account Governance</v>
      </c>
      <c r="C18" t="str">
        <f>Framework_Reference!C12</f>
        <v>Account Negatives</v>
      </c>
      <c r="D18" t="str">
        <f>Framework_Reference!D12</f>
        <v>OK</v>
      </c>
      <c r="E18">
        <f>Framework_Reference!M12</f>
        <v>-9</v>
      </c>
      <c r="F18">
        <f t="shared" si="0"/>
        <v>0</v>
      </c>
    </row>
    <row r="19" spans="1:6" x14ac:dyDescent="0.3">
      <c r="A19" t="str">
        <f>Framework_Reference!B13</f>
        <v>C012</v>
      </c>
      <c r="B19" t="str">
        <f>Framework_Reference!A13</f>
        <v>Account Governance</v>
      </c>
      <c r="C19" t="str">
        <f>Framework_Reference!C13</f>
        <v>Product Negatives</v>
      </c>
      <c r="D19" t="str">
        <f>Framework_Reference!D13</f>
        <v>OK</v>
      </c>
      <c r="E19">
        <f>Framework_Reference!M13</f>
        <v>-9</v>
      </c>
      <c r="F19">
        <f t="shared" si="0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Product Tag Completeness</v>
      </c>
      <c r="D20" t="str">
        <f>Framework_Reference!D14</f>
        <v>OK</v>
      </c>
      <c r="E20">
        <f>Framework_Reference!M14</f>
        <v>-5</v>
      </c>
      <c r="F20">
        <f t="shared" si="0"/>
        <v>0</v>
      </c>
    </row>
    <row r="21" spans="1:6" x14ac:dyDescent="0.3">
      <c r="A21" t="str">
        <f>Framework_Reference!B15</f>
        <v>C014</v>
      </c>
      <c r="B21" t="str">
        <f>Framework_Reference!A15</f>
        <v>Data &amp; Visibility</v>
      </c>
      <c r="C21" t="str">
        <f>Framework_Reference!C15</f>
        <v>Branded Keywords Defined</v>
      </c>
      <c r="D21" t="str">
        <f>Framework_Reference!D15</f>
        <v>OK</v>
      </c>
      <c r="E21">
        <f>Framework_Reference!M15</f>
        <v>-13</v>
      </c>
      <c r="F21">
        <f t="shared" si="0"/>
        <v>0</v>
      </c>
    </row>
    <row r="22" spans="1:6" x14ac:dyDescent="0.3">
      <c r="A22" t="str">
        <f>Framework_Reference!B16</f>
        <v>C015</v>
      </c>
      <c r="B22" t="str">
        <f>Framework_Reference!A16</f>
        <v>Data &amp; Visibility</v>
      </c>
      <c r="C22" t="str">
        <f>Framework_Reference!C16</f>
        <v>Competitor Keywords Defined</v>
      </c>
      <c r="D22" t="str">
        <f>Framework_Reference!D16</f>
        <v>OK</v>
      </c>
      <c r="E22">
        <f>Framework_Reference!M16</f>
        <v>-5</v>
      </c>
      <c r="F22">
        <f t="shared" si="0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Products</v>
      </c>
      <c r="D23" t="str">
        <f>Framework_Reference!D17</f>
        <v>OK</v>
      </c>
      <c r="E23">
        <f>Framework_Reference!M17</f>
        <v>-11</v>
      </c>
      <c r="F23">
        <f t="shared" si="0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Product Budgets</v>
      </c>
      <c r="D24" t="str">
        <f>Framework_Reference!D18</f>
        <v>OK</v>
      </c>
      <c r="E24">
        <f>Framework_Reference!M18</f>
        <v>-3</v>
      </c>
      <c r="F24">
        <f t="shared" si="0"/>
        <v>0</v>
      </c>
    </row>
    <row r="25" spans="1:6" x14ac:dyDescent="0.3">
      <c r="A25" t="str">
        <f>Framework_Reference!B19</f>
        <v>C018</v>
      </c>
      <c r="B25" t="str">
        <f>Framework_Reference!A19</f>
        <v>Budget &amp; Structure</v>
      </c>
      <c r="C25" t="str">
        <f>Framework_Reference!C19</f>
        <v>Unmanaged Campaigns</v>
      </c>
      <c r="D25" t="str">
        <f>Framework_Reference!D19</f>
        <v>OK</v>
      </c>
      <c r="E25">
        <f>Framework_Reference!M19</f>
        <v>-11</v>
      </c>
      <c r="F25">
        <f t="shared" si="0"/>
        <v>0</v>
      </c>
    </row>
    <row r="26" spans="1:6" x14ac:dyDescent="0.3">
      <c r="A26" t="str">
        <f>Framework_Reference!B20</f>
        <v>C019</v>
      </c>
      <c r="B26" t="str">
        <f>Framework_Reference!A20</f>
        <v>Budget &amp; Structure</v>
      </c>
      <c r="C26" t="str">
        <f>Framework_Reference!C20</f>
        <v>Unmanaged Campaign Budgets</v>
      </c>
      <c r="D26" t="str">
        <f>Framework_Reference!D20</f>
        <v>OK</v>
      </c>
      <c r="E26">
        <f>Framework_Reference!M20</f>
        <v>-3</v>
      </c>
      <c r="F26">
        <f t="shared" si="0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ARIS Manual Recommendations</v>
      </c>
      <c r="D27" t="str">
        <f>Framework_Reference!D21</f>
        <v>OK</v>
      </c>
      <c r="E27">
        <f>Framework_Reference!M21</f>
        <v>-11</v>
      </c>
      <c r="F27">
        <f t="shared" si="0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VAM Baseline</v>
      </c>
      <c r="D28" t="str">
        <f>Framework_Reference!D22</f>
        <v>OK</v>
      </c>
      <c r="E28">
        <f>Framework_Reference!M22</f>
        <v>-11</v>
      </c>
      <c r="F28">
        <f t="shared" si="0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Portfolio ACoS Targets</v>
      </c>
      <c r="D29" t="str">
        <f>Framework_Reference!D23</f>
        <v>OK</v>
      </c>
      <c r="E29">
        <f>Framework_Reference!M23</f>
        <v>-7</v>
      </c>
      <c r="F29">
        <f t="shared" si="0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Portfolio Budgets</v>
      </c>
      <c r="D30" t="str">
        <f>Framework_Reference!D24</f>
        <v>OK</v>
      </c>
      <c r="E30">
        <f>Framework_Reference!M24</f>
        <v>-7</v>
      </c>
      <c r="F30">
        <f t="shared" si="0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Self Service Enabled</v>
      </c>
      <c r="D31" t="str">
        <f>Framework_Reference!D25</f>
        <v>OK</v>
      </c>
      <c r="E31">
        <f>Framework_Reference!M25</f>
        <v>-3</v>
      </c>
      <c r="F31">
        <f t="shared" si="0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Minimum Bid</v>
      </c>
      <c r="D32" t="str">
        <f>Framework_Reference!D26</f>
        <v>OK</v>
      </c>
      <c r="E32">
        <f>Framework_Reference!M26</f>
        <v>-11</v>
      </c>
      <c r="F32">
        <f t="shared" si="0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Max Conversion Rate</v>
      </c>
      <c r="D33" t="str">
        <f>Framework_Reference!D27</f>
        <v>OK</v>
      </c>
      <c r="E33">
        <f>Framework_Reference!M27</f>
        <v>-11</v>
      </c>
      <c r="F33">
        <f t="shared" si="0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Promote/Negate Thresholds</v>
      </c>
      <c r="D34" t="str">
        <f>Framework_Reference!D28</f>
        <v>OK</v>
      </c>
      <c r="E34">
        <f>Framework_Reference!M28</f>
        <v>-7</v>
      </c>
      <c r="F34">
        <f t="shared" si="0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Budget Management Toggle</v>
      </c>
      <c r="D35" t="str">
        <f>Framework_Reference!D29</f>
        <v>OK</v>
      </c>
      <c r="E35">
        <f>Framework_Reference!M29</f>
        <v>-9</v>
      </c>
      <c r="F35">
        <f t="shared" si="0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Placement Modifier Toggle</v>
      </c>
      <c r="D36" t="str">
        <f>Framework_Reference!D30</f>
        <v>OK</v>
      </c>
      <c r="E36">
        <f>Framework_Reference!M30</f>
        <v>-9</v>
      </c>
      <c r="F36">
        <f t="shared" si="0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Hourly Bidding Toggle</v>
      </c>
      <c r="D37" t="str">
        <f>Framework_Reference!D31</f>
        <v>OK</v>
      </c>
      <c r="E37">
        <f>Framework_Reference!M31</f>
        <v>-13</v>
      </c>
      <c r="F37">
        <f t="shared" si="0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Auto Import Campaigns</v>
      </c>
      <c r="D38" t="str">
        <f>Framework_Reference!D32</f>
        <v>OK</v>
      </c>
      <c r="E38">
        <f>Framework_Reference!M32</f>
        <v>-5</v>
      </c>
      <c r="F38">
        <f t="shared" si="0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Stop Audience Auto-Link</v>
      </c>
      <c r="D39" t="str">
        <f>Framework_Reference!D33</f>
        <v>OK</v>
      </c>
      <c r="E39">
        <f>Framework_Reference!M33</f>
        <v>-9</v>
      </c>
      <c r="F39">
        <f t="shared" si="0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B2B Placement Management</v>
      </c>
      <c r="D40" t="str">
        <f>Framework_Reference!D34</f>
        <v>OK</v>
      </c>
      <c r="E40">
        <f>Framework_Reference!M34</f>
        <v>-7</v>
      </c>
      <c r="F40">
        <f t="shared" ref="F40:F61" si="1">IF(D40="FLAG",E40,IF(D40="PARTIAL",E40*0.5,0))</f>
        <v>0</v>
      </c>
    </row>
    <row r="41" spans="1:6" x14ac:dyDescent="0.3">
      <c r="A41" t="str">
        <f>Framework_Reference!B35</f>
        <v>C034</v>
      </c>
      <c r="B41" t="str">
        <f>Framework_Reference!A35</f>
        <v>Account Governance</v>
      </c>
      <c r="C41" t="str">
        <f>Framework_Reference!C35</f>
        <v>Has Display Promote</v>
      </c>
      <c r="D41" t="str">
        <f>Framework_Reference!D35</f>
        <v>OK</v>
      </c>
      <c r="E41">
        <f>Framework_Reference!M35</f>
        <v>-5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Account Governance</v>
      </c>
      <c r="C42" t="str">
        <f>Framework_Reference!C36</f>
        <v>ChangeSBV</v>
      </c>
      <c r="D42" t="str">
        <f>Framework_Reference!D36</f>
        <v>OK</v>
      </c>
      <c r="E42">
        <f>Framework_Reference!M36</f>
        <v>-7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RBO - Sponsored Products</v>
      </c>
      <c r="C43" t="str">
        <f>Framework_Reference!C37</f>
        <v>Rule Based Optimization (RBO)</v>
      </c>
      <c r="D43" t="str">
        <f>Framework_Reference!D37</f>
        <v>OK</v>
      </c>
      <c r="E43">
        <f>Framework_Reference!M37</f>
        <v>-13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SPT Coverage</v>
      </c>
      <c r="D44" t="str">
        <f>Framework_Reference!D38</f>
        <v>OK</v>
      </c>
      <c r="E44">
        <f>Framework_Reference!M38</f>
        <v>-15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CatchAll vs WATM</v>
      </c>
      <c r="D45" t="str">
        <f>Framework_Reference!D39</f>
        <v>OK</v>
      </c>
      <c r="E45">
        <f>Framework_Reference!M39</f>
        <v>-9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ATM Coverage for Top Sellers</v>
      </c>
      <c r="D46" t="str">
        <f>Framework_Reference!D40</f>
        <v>OK</v>
      </c>
      <c r="E46">
        <f>Framework_Reference!M40</f>
        <v>-13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Products</v>
      </c>
      <c r="C47" t="str">
        <f>Framework_Reference!C41</f>
        <v>BA → BAK Translation</v>
      </c>
      <c r="D47" t="str">
        <f>Framework_Reference!D41</f>
        <v>OK</v>
      </c>
      <c r="E47">
        <f>Framework_Reference!M41</f>
        <v>-7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Products</v>
      </c>
      <c r="C48" t="str">
        <f>Framework_Reference!C42</f>
        <v>Branded vs Non-Branded Mix</v>
      </c>
      <c r="D48" t="str">
        <f>Framework_Reference!D42</f>
        <v>OK</v>
      </c>
      <c r="E48">
        <f>Framework_Reference!M42</f>
        <v>-7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 Spend Share</v>
      </c>
      <c r="D49" t="str">
        <f>Framework_Reference!D43</f>
        <v>OK</v>
      </c>
      <c r="E49">
        <f>Framework_Reference!M43</f>
        <v>-9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 Branded Spend Share</v>
      </c>
      <c r="D50" t="str">
        <f>Framework_Reference!D44</f>
        <v>OK</v>
      </c>
      <c r="E50">
        <f>Framework_Reference!M44</f>
        <v>-9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Brands</v>
      </c>
      <c r="C51" t="str">
        <f>Framework_Reference!C45</f>
        <v>SB Custom Images</v>
      </c>
      <c r="D51" t="str">
        <f>Framework_Reference!D45</f>
        <v>OK</v>
      </c>
      <c r="E51">
        <f>Framework_Reference!M45</f>
        <v>-9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Brands</v>
      </c>
      <c r="C52" t="str">
        <f>Framework_Reference!C46</f>
        <v>SBV Spend Share</v>
      </c>
      <c r="D52" t="str">
        <f>Framework_Reference!D46</f>
        <v>OK</v>
      </c>
      <c r="E52">
        <f>Framework_Reference!M46</f>
        <v>-7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Brands</v>
      </c>
      <c r="C53" t="str">
        <f>Framework_Reference!C47</f>
        <v>SBTV Spend Share</v>
      </c>
      <c r="D53" t="str">
        <f>Framework_Reference!D47</f>
        <v>OK</v>
      </c>
      <c r="E53">
        <f>Framework_Reference!M47</f>
        <v>-11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Sponsored Display</v>
      </c>
      <c r="C54" t="str">
        <f>Framework_Reference!C48</f>
        <v>SD Defensive Coverage</v>
      </c>
      <c r="D54" t="str">
        <f>Framework_Reference!D48</f>
        <v>OK</v>
      </c>
      <c r="E54">
        <f>Framework_Reference!M48</f>
        <v>-11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Sponsored Display</v>
      </c>
      <c r="C55" t="str">
        <f>Framework_Reference!C49</f>
        <v>SD VCPM Spend Share</v>
      </c>
      <c r="D55" t="str">
        <f>Framework_Reference!D49</f>
        <v>OK</v>
      </c>
      <c r="E55">
        <f>Framework_Reference!M49</f>
        <v>-9</v>
      </c>
      <c r="F55">
        <f t="shared" si="1"/>
        <v>0</v>
      </c>
    </row>
    <row r="56" spans="1:6" x14ac:dyDescent="0.3">
      <c r="A56" t="str">
        <f>Framework_Reference!B50</f>
        <v>C049</v>
      </c>
      <c r="B56" t="str">
        <f>Framework_Reference!A50</f>
        <v>Sponsored Display</v>
      </c>
      <c r="C56" t="str">
        <f>Framework_Reference!C50</f>
        <v>SD VCPM Sales Share</v>
      </c>
      <c r="D56" t="str">
        <f>Framework_Reference!D50</f>
        <v>OK</v>
      </c>
      <c r="E56">
        <f>Framework_Reference!M50</f>
        <v>-9</v>
      </c>
      <c r="F56">
        <f t="shared" si="1"/>
        <v>0</v>
      </c>
    </row>
    <row r="57" spans="1:6" x14ac:dyDescent="0.3">
      <c r="A57" t="str">
        <f>Framework_Reference!B51</f>
        <v>C050</v>
      </c>
      <c r="B57" t="str">
        <f>Framework_Reference!A51</f>
        <v>Account Governance</v>
      </c>
      <c r="C57" t="str">
        <f>Framework_Reference!C51</f>
        <v>Budget X Amount of Campaigns</v>
      </c>
      <c r="D57" t="str">
        <f>Framework_Reference!D51</f>
        <v>OK</v>
      </c>
      <c r="E57">
        <f>Framework_Reference!M51</f>
        <v>-9</v>
      </c>
      <c r="F57">
        <f t="shared" si="1"/>
        <v>0</v>
      </c>
    </row>
    <row r="58" spans="1:6" x14ac:dyDescent="0.3">
      <c r="A58" t="str">
        <f>Framework_Reference!B52</f>
        <v>C051</v>
      </c>
      <c r="B58" t="str">
        <f>Framework_Reference!A52</f>
        <v>Account Governance</v>
      </c>
      <c r="C58" t="str">
        <f>Framework_Reference!C52</f>
        <v>Out of Budget (Consecutive Days)</v>
      </c>
      <c r="D58" t="str">
        <f>Framework_Reference!D52</f>
        <v>OK</v>
      </c>
      <c r="E58">
        <f>Framework_Reference!M52</f>
        <v>-18</v>
      </c>
      <c r="F58">
        <f t="shared" si="1"/>
        <v>0</v>
      </c>
    </row>
    <row r="59" spans="1:6" x14ac:dyDescent="0.3">
      <c r="A59" t="str">
        <f>Framework_Reference!B53</f>
        <v>C052</v>
      </c>
      <c r="B59" t="str">
        <f>Framework_Reference!A53</f>
        <v>Account Governance</v>
      </c>
      <c r="C59" t="str">
        <f>Framework_Reference!C53</f>
        <v>Cleanup &amp; Relaunch Cadence</v>
      </c>
      <c r="D59" t="str">
        <f>Framework_Reference!D53</f>
        <v>OK</v>
      </c>
      <c r="E59">
        <f>Framework_Reference!M53</f>
        <v>-13</v>
      </c>
      <c r="F59">
        <f t="shared" si="1"/>
        <v>0</v>
      </c>
    </row>
    <row r="60" spans="1:6" x14ac:dyDescent="0.3">
      <c r="A60" t="str">
        <f>Framework_Reference!B54</f>
        <v>C053</v>
      </c>
      <c r="B60" t="str">
        <f>Framework_Reference!A54</f>
        <v>Account Governance</v>
      </c>
      <c r="C60" t="str">
        <f>Framework_Reference!C54</f>
        <v>Intraday OOB %</v>
      </c>
      <c r="D60" t="str">
        <f>Framework_Reference!D54</f>
        <v>OK</v>
      </c>
      <c r="E60">
        <f>Framework_Reference!M54</f>
        <v>-7</v>
      </c>
      <c r="F60">
        <f t="shared" si="1"/>
        <v>0</v>
      </c>
    </row>
    <row r="61" spans="1:6" x14ac:dyDescent="0.3">
      <c r="A61" t="str">
        <f>Framework_Reference!B55</f>
        <v>C054</v>
      </c>
      <c r="B61" t="str">
        <f>Framework_Reference!A55</f>
        <v>Account Governance</v>
      </c>
      <c r="C61" t="str">
        <f>Framework_Reference!C55</f>
        <v>Brand Analytics Enabled</v>
      </c>
      <c r="D61" t="str">
        <f>Framework_Reference!D55</f>
        <v>OK</v>
      </c>
      <c r="E61">
        <f>Framework_Reference!M55</f>
        <v>-13</v>
      </c>
      <c r="F61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2026-03-03T21:06:32Z</dcterms:modified>
</cp:coreProperties>
</file>