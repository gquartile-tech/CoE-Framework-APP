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AMAZON FULL ANALYSIS/AGENT FRAMEWORK/"/>
    </mc:Choice>
  </mc:AlternateContent>
  <xr:revisionPtr revIDLastSave="312" documentId="11_D7210D98AB9F6511CFA7447711E4920A3EEDBF74" xr6:coauthVersionLast="47" xr6:coauthVersionMax="47" xr10:uidLastSave="{DA83C7C9-4AD5-4A3B-B3CD-AB40BC17D2EF}"/>
  <bookViews>
    <workbookView xWindow="-28920" yWindow="-15" windowWidth="29040" windowHeight="15720" xr2:uid="{00000000-000D-0000-FFFF-FFFF00000000}"/>
  </bookViews>
  <sheets>
    <sheet name="Framework_Analysis" sheetId="1" r:id="rId1"/>
    <sheet name="Framework_Reference" sheetId="2" r:id="rId2"/>
    <sheet name="Logic and Calculation" sheetId="3" r:id="rId3"/>
  </sheets>
  <definedNames>
    <definedName name="_xleta.N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  <definedName name="_xlpm.wysd" hidden="1" xlm="1">#NAME?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2" i="1" l="1" a="1"/>
  <c r="A12" i="1" s="1"/>
  <c r="A9" i="3" l="1"/>
  <c r="B9" i="3"/>
  <c r="C9" i="3"/>
  <c r="D9" i="3"/>
  <c r="F9" i="3"/>
  <c r="A10" i="3"/>
  <c r="B10" i="3"/>
  <c r="C10" i="3"/>
  <c r="D10" i="3"/>
  <c r="F10" i="3" s="1"/>
  <c r="A11" i="3"/>
  <c r="B11" i="3"/>
  <c r="C11" i="3"/>
  <c r="D11" i="3"/>
  <c r="F11" i="3"/>
  <c r="A12" i="3"/>
  <c r="B12" i="3"/>
  <c r="C12" i="3"/>
  <c r="D12" i="3"/>
  <c r="F12" i="3"/>
  <c r="A13" i="3"/>
  <c r="B13" i="3"/>
  <c r="C13" i="3"/>
  <c r="D13" i="3"/>
  <c r="F13" i="3"/>
  <c r="A14" i="3"/>
  <c r="B14" i="3"/>
  <c r="C14" i="3"/>
  <c r="D14" i="3"/>
  <c r="F14" i="3"/>
  <c r="A15" i="3"/>
  <c r="B15" i="3"/>
  <c r="C15" i="3"/>
  <c r="D15" i="3"/>
  <c r="F15" i="3"/>
  <c r="A16" i="3"/>
  <c r="B16" i="3"/>
  <c r="C16" i="3"/>
  <c r="D16" i="3"/>
  <c r="F16" i="3"/>
  <c r="A17" i="3"/>
  <c r="B17" i="3"/>
  <c r="C17" i="3"/>
  <c r="D17" i="3"/>
  <c r="F17" i="3"/>
  <c r="A18" i="3"/>
  <c r="B18" i="3"/>
  <c r="C18" i="3"/>
  <c r="D18" i="3"/>
  <c r="F18" i="3" s="1"/>
  <c r="A19" i="3"/>
  <c r="B19" i="3"/>
  <c r="C19" i="3"/>
  <c r="D19" i="3"/>
  <c r="F19" i="3"/>
  <c r="A20" i="3"/>
  <c r="B20" i="3"/>
  <c r="C20" i="3"/>
  <c r="D20" i="3"/>
  <c r="F20" i="3"/>
  <c r="A21" i="3"/>
  <c r="B21" i="3"/>
  <c r="C21" i="3"/>
  <c r="D21" i="3"/>
  <c r="F21" i="3"/>
  <c r="A22" i="3"/>
  <c r="B22" i="3"/>
  <c r="C22" i="3"/>
  <c r="D22" i="3"/>
  <c r="F22" i="3"/>
  <c r="A23" i="3"/>
  <c r="B23" i="3"/>
  <c r="C23" i="3"/>
  <c r="D23" i="3"/>
  <c r="F23" i="3" s="1"/>
  <c r="A24" i="3"/>
  <c r="B24" i="3"/>
  <c r="C24" i="3"/>
  <c r="D24" i="3"/>
  <c r="F24" i="3"/>
  <c r="A25" i="3"/>
  <c r="B25" i="3"/>
  <c r="C25" i="3"/>
  <c r="D25" i="3"/>
  <c r="F25" i="3"/>
  <c r="A26" i="3"/>
  <c r="B26" i="3"/>
  <c r="C26" i="3"/>
  <c r="D26" i="3"/>
  <c r="F26" i="3"/>
  <c r="A27" i="3"/>
  <c r="B27" i="3"/>
  <c r="C27" i="3"/>
  <c r="D27" i="3"/>
  <c r="F27" i="3"/>
  <c r="A28" i="3"/>
  <c r="B28" i="3"/>
  <c r="C28" i="3"/>
  <c r="D28" i="3"/>
  <c r="F28" i="3"/>
  <c r="A29" i="3"/>
  <c r="B29" i="3"/>
  <c r="C29" i="3"/>
  <c r="D29" i="3"/>
  <c r="F29" i="3" s="1"/>
  <c r="A30" i="3"/>
  <c r="B30" i="3"/>
  <c r="C30" i="3"/>
  <c r="D30" i="3"/>
  <c r="F30" i="3"/>
  <c r="A31" i="3"/>
  <c r="B31" i="3"/>
  <c r="C31" i="3"/>
  <c r="D31" i="3"/>
  <c r="F31" i="3"/>
  <c r="A32" i="3"/>
  <c r="B32" i="3"/>
  <c r="C32" i="3"/>
  <c r="D32" i="3"/>
  <c r="F32" i="3"/>
  <c r="A33" i="3"/>
  <c r="B33" i="3"/>
  <c r="C33" i="3"/>
  <c r="D33" i="3"/>
  <c r="F33" i="3"/>
  <c r="A34" i="3"/>
  <c r="B34" i="3"/>
  <c r="C34" i="3"/>
  <c r="D34" i="3"/>
  <c r="F34" i="3"/>
  <c r="A35" i="3"/>
  <c r="B35" i="3"/>
  <c r="C35" i="3"/>
  <c r="D35" i="3"/>
  <c r="F35" i="3" s="1"/>
  <c r="A36" i="3"/>
  <c r="B36" i="3"/>
  <c r="C36" i="3"/>
  <c r="D36" i="3"/>
  <c r="F36" i="3"/>
  <c r="A37" i="3"/>
  <c r="B37" i="3"/>
  <c r="C37" i="3"/>
  <c r="D37" i="3"/>
  <c r="F37" i="3"/>
  <c r="A38" i="3"/>
  <c r="B38" i="3"/>
  <c r="C38" i="3"/>
  <c r="D38" i="3"/>
  <c r="F38" i="3"/>
  <c r="A39" i="3"/>
  <c r="B39" i="3"/>
  <c r="C39" i="3"/>
  <c r="D39" i="3"/>
  <c r="F39" i="3" s="1"/>
  <c r="A40" i="3"/>
  <c r="B40" i="3"/>
  <c r="C40" i="3"/>
  <c r="D40" i="3"/>
  <c r="F40" i="3" s="1"/>
  <c r="A41" i="3"/>
  <c r="B41" i="3"/>
  <c r="C41" i="3"/>
  <c r="D41" i="3"/>
  <c r="F41" i="3"/>
  <c r="A42" i="3"/>
  <c r="B42" i="3"/>
  <c r="C42" i="3"/>
  <c r="D42" i="3"/>
  <c r="F42" i="3"/>
  <c r="A43" i="3"/>
  <c r="B43" i="3"/>
  <c r="C43" i="3"/>
  <c r="D43" i="3"/>
  <c r="F43" i="3" s="1"/>
  <c r="A44" i="3"/>
  <c r="B44" i="3"/>
  <c r="C44" i="3"/>
  <c r="D44" i="3"/>
  <c r="F44" i="3"/>
  <c r="A45" i="3"/>
  <c r="B45" i="3"/>
  <c r="C45" i="3"/>
  <c r="D45" i="3"/>
  <c r="F45" i="3"/>
  <c r="A46" i="3"/>
  <c r="B46" i="3"/>
  <c r="C46" i="3"/>
  <c r="D46" i="3"/>
  <c r="F46" i="3"/>
  <c r="A47" i="3"/>
  <c r="B47" i="3"/>
  <c r="C47" i="3"/>
  <c r="D47" i="3"/>
  <c r="F47" i="3"/>
  <c r="A48" i="3"/>
  <c r="B48" i="3"/>
  <c r="C48" i="3"/>
  <c r="D48" i="3"/>
  <c r="F48" i="3"/>
  <c r="A49" i="3"/>
  <c r="B49" i="3"/>
  <c r="C49" i="3"/>
  <c r="D49" i="3"/>
  <c r="F49" i="3" s="1"/>
  <c r="A50" i="3"/>
  <c r="B50" i="3"/>
  <c r="C50" i="3"/>
  <c r="D50" i="3"/>
  <c r="F50" i="3"/>
  <c r="A51" i="3"/>
  <c r="B51" i="3"/>
  <c r="C51" i="3"/>
  <c r="D51" i="3"/>
  <c r="F51" i="3"/>
  <c r="A52" i="3"/>
  <c r="B52" i="3"/>
  <c r="C52" i="3"/>
  <c r="D52" i="3"/>
  <c r="F52" i="3"/>
  <c r="A53" i="3"/>
  <c r="B53" i="3"/>
  <c r="C53" i="3"/>
  <c r="D53" i="3"/>
  <c r="F53" i="3"/>
  <c r="A54" i="3"/>
  <c r="B54" i="3"/>
  <c r="C54" i="3"/>
  <c r="D54" i="3"/>
  <c r="F54" i="3"/>
  <c r="A55" i="3"/>
  <c r="B55" i="3"/>
  <c r="C55" i="3"/>
  <c r="D55" i="3"/>
  <c r="F55" i="3"/>
  <c r="L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1" i="2"/>
  <c r="L42" i="2"/>
  <c r="L43" i="2"/>
  <c r="L44" i="2"/>
  <c r="L45" i="2"/>
  <c r="L46" i="2"/>
  <c r="L47" i="2"/>
  <c r="L48" i="2"/>
  <c r="L49" i="2"/>
  <c r="L40" i="2"/>
  <c r="N8" i="2"/>
  <c r="E14" i="3" s="1"/>
  <c r="N9" i="2"/>
  <c r="E15" i="3" s="1"/>
  <c r="N10" i="2"/>
  <c r="E16" i="3" s="1"/>
  <c r="N11" i="2"/>
  <c r="E17" i="3" s="1"/>
  <c r="N12" i="2"/>
  <c r="E18" i="3" s="1"/>
  <c r="N13" i="2"/>
  <c r="E19" i="3" s="1"/>
  <c r="N14" i="2"/>
  <c r="E20" i="3" s="1"/>
  <c r="N15" i="2"/>
  <c r="E21" i="3" s="1"/>
  <c r="N16" i="2"/>
  <c r="E22" i="3" s="1"/>
  <c r="N17" i="2"/>
  <c r="E23" i="3" s="1"/>
  <c r="N18" i="2"/>
  <c r="E24" i="3" s="1"/>
  <c r="N19" i="2"/>
  <c r="E25" i="3" s="1"/>
  <c r="N20" i="2"/>
  <c r="E26" i="3" s="1"/>
  <c r="N21" i="2"/>
  <c r="E27" i="3" s="1"/>
  <c r="N22" i="2"/>
  <c r="E28" i="3" s="1"/>
  <c r="N23" i="2"/>
  <c r="E29" i="3" s="1"/>
  <c r="N24" i="2"/>
  <c r="E30" i="3" s="1"/>
  <c r="N25" i="2"/>
  <c r="E31" i="3" s="1"/>
  <c r="N26" i="2"/>
  <c r="E32" i="3" s="1"/>
  <c r="N27" i="2"/>
  <c r="E33" i="3" s="1"/>
  <c r="N28" i="2"/>
  <c r="E34" i="3" s="1"/>
  <c r="N29" i="2"/>
  <c r="E35" i="3" s="1"/>
  <c r="N30" i="2"/>
  <c r="E36" i="3" s="1"/>
  <c r="N31" i="2"/>
  <c r="E37" i="3" s="1"/>
  <c r="N32" i="2"/>
  <c r="E38" i="3" s="1"/>
  <c r="N33" i="2"/>
  <c r="E39" i="3" s="1"/>
  <c r="N34" i="2"/>
  <c r="E40" i="3" s="1"/>
  <c r="N35" i="2"/>
  <c r="E41" i="3" s="1"/>
  <c r="N36" i="2"/>
  <c r="E42" i="3" s="1"/>
  <c r="N37" i="2"/>
  <c r="E43" i="3" s="1"/>
  <c r="N38" i="2"/>
  <c r="E44" i="3" s="1"/>
  <c r="N39" i="2"/>
  <c r="E45" i="3" s="1"/>
  <c r="N40" i="2"/>
  <c r="E46" i="3" s="1"/>
  <c r="N41" i="2"/>
  <c r="E47" i="3" s="1"/>
  <c r="N42" i="2"/>
  <c r="E48" i="3" s="1"/>
  <c r="N43" i="2"/>
  <c r="E49" i="3" s="1"/>
  <c r="N44" i="2"/>
  <c r="E50" i="3" s="1"/>
  <c r="N45" i="2"/>
  <c r="E51" i="3" s="1"/>
  <c r="N46" i="2"/>
  <c r="E52" i="3" s="1"/>
  <c r="N47" i="2"/>
  <c r="E53" i="3" s="1"/>
  <c r="N48" i="2"/>
  <c r="E54" i="3" s="1"/>
  <c r="N49" i="2"/>
  <c r="E55" i="3" s="1"/>
  <c r="N7" i="2"/>
  <c r="E13" i="3" s="1"/>
  <c r="D8" i="3"/>
  <c r="F8" i="3" s="1"/>
  <c r="C8" i="3"/>
  <c r="B8" i="3"/>
  <c r="A8" i="3"/>
  <c r="N6" i="2"/>
  <c r="E12" i="3" s="1"/>
  <c r="N5" i="2"/>
  <c r="E11" i="3" s="1"/>
  <c r="N4" i="2"/>
  <c r="E10" i="3" s="1"/>
  <c r="N3" i="2"/>
  <c r="E9" i="3" s="1"/>
  <c r="N2" i="2"/>
  <c r="E8" i="3" s="1"/>
  <c r="B3" i="3" l="1"/>
  <c r="B4" i="3" s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<sst xmlns="http://schemas.openxmlformats.org/spreadsheetml/2006/main" count="584" uniqueCount="457">
  <si>
    <t>53588A - US - ZooPro — Framework Analysis</t>
  </si>
  <si>
    <t>Framework Grade</t>
  </si>
  <si>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</si>
  <si>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</si>
  <si>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</si>
  <si>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</si>
  <si>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</si>
  <si>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</si>
  <si>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</si>
  <si>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</si>
  <si>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</si>
  <si>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</si>
  <si>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What</t>
  </si>
  <si>
    <t>Why</t>
  </si>
  <si>
    <t>How</t>
  </si>
  <si>
    <t>Data Source</t>
  </si>
  <si>
    <t>Importance</t>
  </si>
  <si>
    <t>Priority</t>
  </si>
  <si>
    <t>Notes/Intent</t>
  </si>
  <si>
    <t>Account Governance</t>
  </si>
  <si>
    <t>C001</t>
  </si>
  <si>
    <t>ACoS Change Spacing</t>
  </si>
  <si>
    <t>OK</t>
  </si>
  <si>
    <t>Check if ACoS target changes are spaced ≥14 days apart.</t>
  </si>
  <si>
    <t>Frequent changes disrupt learning and bid stabilization.</t>
  </si>
  <si>
    <t>FLAG if any consecutive changes &lt;14 days (only evaluate within last 6 months).</t>
  </si>
  <si>
    <t>Observed: {min_days_between_changes} days between ACoS target changes (last 6 months). Rule: ≥14 days. Result: {PASS/FLAG}.</t>
  </si>
  <si>
    <t>Frequent target changes disrupt learning cycles and prevent bid stabilization, increasing volatility and slowing optimization.</t>
  </si>
  <si>
    <t>24_Account_ACoS_Changes_History</t>
  </si>
  <si>
    <t>Medium</t>
  </si>
  <si>
    <t>C002</t>
  </si>
  <si>
    <t>ACoS Change Volume</t>
  </si>
  <si>
    <t>Check if too many ACoS target changes occurred in last 90 days.</t>
  </si>
  <si>
    <t>Excessive changes prevent system adaptation.</t>
  </si>
  <si>
    <t>Excessive governance changes prevent the system from adapting, causing inconsistent optimization and unstable efficiency.</t>
  </si>
  <si>
    <t>C003</t>
  </si>
  <si>
    <t>ACoS Change Magnitude</t>
  </si>
  <si>
    <t>Check if ACoS change magnitude is within thresholds.</t>
  </si>
  <si>
    <t>Too small changes don’t move system; too large changes create risk.</t>
  </si>
  <si>
    <t>FLAG if iACoS_Percent outside 5%–25% (best 10%–15%); only within last 6 months.</t>
  </si>
  <si>
    <t>Observed: iACoS_Percent change = {pct_change} (last 6 months). Rule: 5%–25% (best 10%–15%). Result: {PASS/FLAG}.</t>
  </si>
  <si>
    <t>Changes that are too small don’t shift outcomes; changes too large can create overspend or under-delivery, increasing efficiency risk.</t>
  </si>
  <si>
    <t>C004</t>
  </si>
  <si>
    <t>Quartile Factor Override</t>
  </si>
  <si>
    <t>Check Quartile Factor != 1.</t>
  </si>
  <si>
    <t>Non-default factor indicates non-standard thresholding.</t>
  </si>
  <si>
    <t>FLAG if Quartile Factor ≠ 1.</t>
  </si>
  <si>
    <t>Observed: Quartile Factor = {value}. Rule: must equal 1. Result: {OK/PARTIAL/FLAG}.</t>
  </si>
  <si>
    <t>Non-default quartile factor changes the system’s thresholding behavior, increasing risk of unpredictable automation decisions.</t>
  </si>
  <si>
    <t>Portal parameter history (tab varies)</t>
  </si>
  <si>
    <t>C005</t>
  </si>
  <si>
    <t>Account VAM Baseline</t>
  </si>
  <si>
    <t>Check CurrentEpisolon != 1.</t>
  </si>
  <si>
    <t>Non-default epsilon indicates VAM baseline active.</t>
  </si>
  <si>
    <t>FLAG if CurrentEpisolon ≠ 1.</t>
  </si>
  <si>
    <t>Observed: CurrentEpisolon = {value}. Rule: must equal 1. Result: {PASS/FLAG}.</t>
  </si>
  <si>
    <t>A non-default VAM baseline overrides default governance and can materially shift bidding behavior across the account.</t>
  </si>
  <si>
    <t>16_Portal_Account_Settings</t>
  </si>
  <si>
    <t>C006</t>
  </si>
  <si>
    <t>Product ACoS Customization</t>
  </si>
  <si>
    <t>Detect product-level iACoS customizations.</t>
  </si>
  <si>
    <t>Product-level targets override account governance.</t>
  </si>
  <si>
    <t>OK if no data; FLAG if any product iACoS present.</t>
  </si>
  <si>
    <t>Observed: {num_products_with_iACoS} products with product-level iACoS set (last 6 months). Rule: none expected. Result: {OK/FLAG}.</t>
  </si>
  <si>
    <t>Product-level targets override account governance, creating fragmented optimization rules and inconsistent performance control.</t>
  </si>
  <si>
    <t>10_Performance_by_Child_ASIN (iACoS)</t>
  </si>
  <si>
    <t>C007</t>
  </si>
  <si>
    <t>Campaign ACoS Customization</t>
  </si>
  <si>
    <t>Detect campaign-level ACoS customizations.</t>
  </si>
  <si>
    <t>Campaign overrides create inconsistent governance.</t>
  </si>
  <si>
    <t>OK if no data; FLAG if any campaign customization present.</t>
  </si>
  <si>
    <t>Observed: {num_campaigns_customized} campaigns with custom ACoS targets (last 6 months). Rule: none expected. Result: {OK/FLAG}.</t>
  </si>
  <si>
    <t>Campaign overrides fragment governance and increase variance across the portfolio, reducing system consistency.</t>
  </si>
  <si>
    <t>Campaign ACoS history tab (TBD)</t>
  </si>
  <si>
    <t>C008</t>
  </si>
  <si>
    <t>Timeframe Boost</t>
  </si>
  <si>
    <t>Check for timeframe boost records.</t>
  </si>
  <si>
    <t>Boost distorts placement bidding and learning.</t>
  </si>
  <si>
    <t>OK if no data; FLAG if timeframe boost exists.</t>
  </si>
  <si>
    <t>Observed: {num_boost_records} timeframe boost records active (last 6 months). Rule: none expected. Result: {OK/FLAG}.</t>
  </si>
  <si>
    <t>Boosts distort placement/bid learning and can inflate spend in ways that aren’t aligned to steady-state optimization.</t>
  </si>
  <si>
    <t>27_Timeframe_Boost</t>
  </si>
  <si>
    <t>C009</t>
  </si>
  <si>
    <t>C010</t>
  </si>
  <si>
    <t>C011</t>
  </si>
  <si>
    <t>Account Negatives</t>
  </si>
  <si>
    <t>Detect manual negative keywords at account level.</t>
  </si>
  <si>
    <t>Manual negatives bypass system optimization.</t>
  </si>
  <si>
    <t>FLAG if non-holiday/deal negatives exist at account level.</t>
  </si>
  <si>
    <t>Observed: {num_global_negatives} account-level negative keywords (excluding holiday/deal lists). Result: {OK/FLAG}.</t>
  </si>
  <si>
    <t>Manual negatives bypass system exploration and can suppress demand capture, reducing the system’s ability to optimize.</t>
  </si>
  <si>
    <t>29_Negative_Keywords__Global (Product blank)</t>
  </si>
  <si>
    <t>C012</t>
  </si>
  <si>
    <t>Product Negatives</t>
  </si>
  <si>
    <t>Detect manual negative keywords at product level.</t>
  </si>
  <si>
    <t>Manual negatives can harm discoverability.</t>
  </si>
  <si>
    <t>FLAG if non-holiday/deal negatives exist at product level.</t>
  </si>
  <si>
    <t>Observed: {num_product_negatives} product-level negative keywords (excluding holiday/deal lists). Result: {OK/FLAG}.</t>
  </si>
  <si>
    <t>Product-level negatives can block discoverability for ASINs and create hidden performance constraints that are hard to diagnose.</t>
  </si>
  <si>
    <t>29_Negative_Keywords__Global (Product populated)</t>
  </si>
  <si>
    <t>Data &amp; Visibility</t>
  </si>
  <si>
    <t>C013</t>
  </si>
  <si>
    <t>Product Tag Completeness</t>
  </si>
  <si>
    <t>Check tags completeness across portfolio.</t>
  </si>
  <si>
    <t>Missing tags reduce segmentation &amp; analysis quality.</t>
  </si>
  <si>
    <t>PARTIAL if &lt;25% missing; FLAG if ≥25% missing (based on used tag columns).</t>
  </si>
  <si>
    <t>Observed: {pct_missing_tags}% missing tags across required tag columns (portfolio). Rule: &lt;25% = PARTIAL, ≥25% = FLAG. Result: {OK/PARTIAL/FLAG}.</t>
  </si>
  <si>
    <t>Missing tagging reduces segmentation accuracy and weakens analysis, limiting reliable optimization decisions.</t>
  </si>
  <si>
    <t>10_Performance_by_Child_ASIN (Tag cols T–X)</t>
  </si>
  <si>
    <t>C014</t>
  </si>
  <si>
    <t>Branded Keywords Defined</t>
  </si>
  <si>
    <t>Check at least 1 brand listed.</t>
  </si>
  <si>
    <t>Brand tagging enables branded reporting.</t>
  </si>
  <si>
    <t>FLAG if &lt;1 brand.</t>
  </si>
  <si>
    <t>Observed: {num_brands_listed} brands listed. Rule: ≥1. Result: {OK/FLAG}.</t>
  </si>
  <si>
    <t>Brand definitions enable branded vs non-branded reporting and defensive strategy monitoring.</t>
  </si>
  <si>
    <t>21_Branded_Competitors</t>
  </si>
  <si>
    <t>C015</t>
  </si>
  <si>
    <t>Competitor Keywords Defined</t>
  </si>
  <si>
    <t>Check at least 3 competitors listed.</t>
  </si>
  <si>
    <t>Competitor tagging improves analysis; not mandatory.</t>
  </si>
  <si>
    <t>PARTIAL if 1–2; FLAG if 0.</t>
  </si>
  <si>
    <t>Observed: {num_competitors_listed} competitors listed. Rule: ≥3 = OK; 1–2 = PARTIAL; 0 = FLAG. Result: {OK/PARTIAL/FLAG}.</t>
  </si>
  <si>
    <t>Competitor definitions improve competitive analysis and targeting insights; absence limits diagnostic depth.</t>
  </si>
  <si>
    <t>Budget &amp; Structure</t>
  </si>
  <si>
    <t>C016</t>
  </si>
  <si>
    <t>Check unmanaged ASINs share.</t>
  </si>
  <si>
    <t>Unmanaged products reduce system control.</t>
  </si>
  <si>
    <t>OK if no data; FLAG if unmanaged spend &gt;20%.</t>
  </si>
  <si>
    <t>Observed: unmanaged spend share = {pct_unmanaged_spend}%. Rule: ≤20%. Result: {OK/FLAG}.</t>
  </si>
  <si>
    <t>High unmanaged share reduces system control and increases risk of inefficient spend outside governance.</t>
  </si>
  <si>
    <t>26_Unmanaged_ASIN</t>
  </si>
  <si>
    <t>C017</t>
  </si>
  <si>
    <t>Unmanaged Product Budgets</t>
  </si>
  <si>
    <t>Check unmanaged ASIN budgets exist.</t>
  </si>
  <si>
    <t>Unmanaged budgets amplify governance risk.</t>
  </si>
  <si>
    <t>OK if no data; FLAG if records exist / threshold exceeded.</t>
  </si>
  <si>
    <t>Observed: {num_unmanaged_budget_records} unmanaged ASIN budget records. Rule: none expected. Result: {OK/FLAG}.</t>
  </si>
  <si>
    <t>Unmanaged budgets can create uncontrolled delivery patterns and weaken governance predictability.</t>
  </si>
  <si>
    <t>28_Unmanaged_Budget</t>
  </si>
  <si>
    <t>C018</t>
  </si>
  <si>
    <t>Unmanaged Campaigns</t>
  </si>
  <si>
    <t>Check unmanaged campaigns share.</t>
  </si>
  <si>
    <t>Unmanaged campaigns reduce system control.</t>
  </si>
  <si>
    <t>OK if no data; FLAG if unmanaged spend &gt;10%.</t>
  </si>
  <si>
    <t>Observed: unmanaged campaign spend share = {pct_unmanaged_campaign_spend}%. Rule: ≤10%. Result: {OK/FLAG}.</t>
  </si>
  <si>
    <t>Unmanaged campaigns operate outside standard controls, increasing efficiency drift and reducing consistency.</t>
  </si>
  <si>
    <t>31_Unmanaged_campaigns</t>
  </si>
  <si>
    <t>C019</t>
  </si>
  <si>
    <t>Unmanaged Campaign Budgets</t>
  </si>
  <si>
    <t>Check unmanaged campaign budgets exist.</t>
  </si>
  <si>
    <t>Unmanaged budgets create uncontrolled spend.</t>
  </si>
  <si>
    <t>Observed: {num_unmanaged_campaign_budget_records} unmanaged campaign budget records. Rule: none expected. Result: {OK/FLAG}.</t>
  </si>
  <si>
    <t>Budget overrides on unmanaged campaigns increase spend risk and complicate optimization signals.</t>
  </si>
  <si>
    <t>32_Unmanaged_Campaigns_Budget_O</t>
  </si>
  <si>
    <t>C020</t>
  </si>
  <si>
    <t>ARIS Manual Recommendations</t>
  </si>
  <si>
    <t>Check portfolio-level VAM baseline active (managed portfolios only).</t>
  </si>
  <si>
    <t>Portfolio baselines override governance.</t>
  </si>
  <si>
    <t>FLAG if any managed portfolio has VAM baseline.</t>
  </si>
  <si>
    <t>Observed: {num_managed_portfolios_with_vam} managed portfolios with VAM baseline enabled. Rule: 0 expected. Result: {OK/FLAG}.</t>
  </si>
  <si>
    <t>Portfolio baselines override standard governance and can create segmented behavior that is hard to control at account level.</t>
  </si>
  <si>
    <t>18_Portfolios (is_managed=TRUE)</t>
  </si>
  <si>
    <t>C021</t>
  </si>
  <si>
    <t>Portfolio VAM Baseline</t>
  </si>
  <si>
    <t>Check portfolio-level ACoS targets (managed portfolios only).</t>
  </si>
  <si>
    <t>Portfolio targets can segment governance.</t>
  </si>
  <si>
    <t>PARTIAL if all managed portfolios have targets; FLAG if some portfolios customized (inconsistency).</t>
  </si>
  <si>
    <t>Observed: {num_portfolios_with_targets}/{num_managed_portfolios} managed portfolios have ACoS targets. Result: {OK/PARTIAL/FLAG} (per consistency rule).</t>
  </si>
  <si>
    <t>Inconsistent portfolio target usage creates uneven governance and makes performance interpretation less reliable.</t>
  </si>
  <si>
    <t>C022</t>
  </si>
  <si>
    <t>Portfolio ACoS Targets</t>
  </si>
  <si>
    <t>Check portfolio budgets (managed portfolios only).</t>
  </si>
  <si>
    <t>Portfolio budgets can constrain delivery.</t>
  </si>
  <si>
    <t>PARTIAL if all managed portfolios have budgets; FLAG if some budgets set inconsistently.</t>
  </si>
  <si>
    <t>Observed: {num_portfolios_with_budgets}/{num_managed_portfolios} managed portfolios have budgets. Result: {OK/PARTIAL/FLAG} (per consistency rule).</t>
  </si>
  <si>
    <t>Partial budget constraints across portfolios can distort delivery and make the system optimize unevenly.</t>
  </si>
  <si>
    <t>C023</t>
  </si>
  <si>
    <t>Portfolio Budgets</t>
  </si>
  <si>
    <t>Check SelfService == FALSE.</t>
  </si>
  <si>
    <t>Self-service reduces governance control.</t>
  </si>
  <si>
    <t>FLAG if SelfService=TRUE.</t>
  </si>
  <si>
    <t>Observed: SelfService = {TRUE/FALSE}. Rule: must be FALSE. Result: {OK/FLAG}.</t>
  </si>
  <si>
    <t>Self-service reduces governance control and increases risk of untracked changes affecting performance.</t>
  </si>
  <si>
    <t>C024</t>
  </si>
  <si>
    <t>Self Service Enabled</t>
  </si>
  <si>
    <t>High min bid prevents efficiency controls.</t>
  </si>
  <si>
    <t>41_Seller_Parameter_Insights_Da (EN)</t>
  </si>
  <si>
    <t>C025</t>
  </si>
  <si>
    <t>Minimum Bid</t>
  </si>
  <si>
    <t>Incorrect cap limits bid logic.</t>
  </si>
  <si>
    <t>41_Seller_Parameter_Insights_Da (EW)</t>
  </si>
  <si>
    <t>C026</t>
  </si>
  <si>
    <t>Max Conversion Rate</t>
  </si>
  <si>
    <t>Check promote/negate min clicks defaults.</t>
  </si>
  <si>
    <t>Wrong thresholds degrade automation quality.</t>
  </si>
  <si>
    <t>Wrong thresholds degrade automation quality, causing premature negations or missed promotion opportunities.</t>
  </si>
  <si>
    <t>16_Portal_Account_Settings (Promote/Negate)</t>
  </si>
  <si>
    <t>C027</t>
  </si>
  <si>
    <t>Promote/Negate Thresholds</t>
  </si>
  <si>
    <t>Check BudgetManagement==TRUE.</t>
  </si>
  <si>
    <t>Disabling budget mgmt reduces system control.</t>
  </si>
  <si>
    <t>FLAG if FALSE.</t>
  </si>
  <si>
    <t>Observed: BudgetManagement = {TRUE/FALSE}. Rule: must be TRUE. Result: {OK/FLAG}.</t>
  </si>
  <si>
    <t>Disabling budget management removes critical guardrails and can increase out-of-budget behavior or inefficient pacing.</t>
  </si>
  <si>
    <t>41_Seller_Parameter_Insights_Da (EO)</t>
  </si>
  <si>
    <t>C028</t>
  </si>
  <si>
    <t>Budget Management Toggle</t>
  </si>
  <si>
    <t>Check PlacementSBManagement==TRUE.</t>
  </si>
  <si>
    <t>Disabling placement mgmt reduces optimization.</t>
  </si>
  <si>
    <t>Observed: PlacementSBManagement = {TRUE/FALSE}. Rule: must be TRUE. Result: {OK/FLAG}.</t>
  </si>
  <si>
    <t>Disabling placement controls reduces the system’s ability to optimize by placement signals, lowering efficiency.</t>
  </si>
  <si>
    <t>41_Seller_Parameter_Insights_Da (ES)</t>
  </si>
  <si>
    <t>C029</t>
  </si>
  <si>
    <t>Placement Modifier Toggle</t>
  </si>
  <si>
    <t>Check MktStreamHourlyBidAdjustments==TRUE.</t>
  </si>
  <si>
    <t>Disabling hourly bidding reduces efficiency.</t>
  </si>
  <si>
    <t>Observed: MktStreamHourlyBidAdjustments = {TRUE/FALSE}. Rule: must be TRUE. Result: {OK/FLAG}.</t>
  </si>
  <si>
    <t>Without hourly adjustments, the system can’t respond to intraday conversion patterns, reducing bidding efficiency.</t>
  </si>
  <si>
    <t>41_Seller_Parameter_Insights_Da (EL)</t>
  </si>
  <si>
    <t>C030</t>
  </si>
  <si>
    <t>Hourly Bidding Toggle</t>
  </si>
  <si>
    <t>Check AutomaticallyImportCampaigns==FALSE.</t>
  </si>
  <si>
    <t>Auto-import hides changes and reduces control.</t>
  </si>
  <si>
    <t>FLAG if TRUE.</t>
  </si>
  <si>
    <t>Observed: AutomaticallyImportCampaigns = {TRUE/FALSE}. Rule: must be FALSE. Result: {OK/FLAG}.</t>
  </si>
  <si>
    <t>Auto-import introduces changes without governance visibility and can destabilize optimization.</t>
  </si>
  <si>
    <t>41_Seller_Parameter_Insights_Da (EY)</t>
  </si>
  <si>
    <t>C031</t>
  </si>
  <si>
    <t>Auto Import Campaigns</t>
  </si>
  <si>
    <t>Check if any RBO rules exist.</t>
  </si>
  <si>
    <t>RBO overrides system parameters.</t>
  </si>
  <si>
    <t>OK if no rules; FLAG if any rules exist (active indicator TBD).</t>
  </si>
  <si>
    <t>Observed: {num_rbo_rules} RBO rules detected; active={TRUE/FALSE/TBD}. Result: {OK/FLAG}.</t>
  </si>
  <si>
    <t>RBO can override system decisioning and create non-standard optimization behaviors that must be governed.</t>
  </si>
  <si>
    <t>RBO tab (TBD)</t>
  </si>
  <si>
    <t>Sponsored Products</t>
  </si>
  <si>
    <t>C032</t>
  </si>
  <si>
    <t>Stop Audience Auto-Link</t>
  </si>
  <si>
    <t>Defensive gaps allow competitor intrusion.</t>
  </si>
  <si>
    <t>FLAG if no SPT; PARTIAL if missing SPT per relevant categories (&gt;=30 ASINs &amp; &gt;1 parent).</t>
  </si>
  <si>
    <t>Observed: SPT present={YES/NO}; coverage gaps={gap_summary}. Result: {OK/PARTIAL/FLAG}.</t>
  </si>
  <si>
    <t>Missing defensive coverage exposes listings to competitor conquesting and weakens branded protection.</t>
  </si>
  <si>
    <t>11_Campaigns_Grouped_by_ASIN / 18_Performance_by_Category / 14_Campaign_Performance</t>
  </si>
  <si>
    <t>C033</t>
  </si>
  <si>
    <t>B2B Placement Management</t>
  </si>
  <si>
    <t>Check presence of CatchAll when required.</t>
  </si>
  <si>
    <t>CatchAll preferred under certain account conditions.</t>
  </si>
  <si>
    <t>PARTIAL if no CatchAll when CPC&lt;0.50 AND ASINs&gt;200 AND ACoS target&lt;15%.</t>
  </si>
  <si>
    <t>Observed: CatchAll present={YES/NO} under conditions (CPC&lt;0.50, ASINs&gt;200, target&lt;15%). Result: {OK/PARTIAL}.</t>
  </si>
  <si>
    <t>In accounts where broader structures outperform, missing CatchAll can reduce discovery and limit stable delivery.</t>
  </si>
  <si>
    <t>11_Campaigns_Grouped_by_ASIN / account metrics tabs</t>
  </si>
  <si>
    <t>C034</t>
  </si>
  <si>
    <t>Has Display Promote</t>
  </si>
  <si>
    <t>ATM for low velocity wastes spend; BA supports discovery.</t>
  </si>
  <si>
    <t>C035</t>
  </si>
  <si>
    <t>ChangeSBV</t>
  </si>
  <si>
    <t>C036</t>
  </si>
  <si>
    <t>Rule Based Optimization (RBO)</t>
  </si>
  <si>
    <t>Branded defenses should exist but not dominate.</t>
  </si>
  <si>
    <t>Sponsored Brands</t>
  </si>
  <si>
    <t>C037</t>
  </si>
  <si>
    <t>SPT Coverage</t>
  </si>
  <si>
    <t>Check SB spend share 1–25%.</t>
  </si>
  <si>
    <t>Overuse can hurt efficiency; underuse can miss defense.</t>
  </si>
  <si>
    <t>FLAG if &lt;1% or &gt;25%.</t>
  </si>
  <si>
    <t>Observed: SB spend share={pct}%. Rule: 1–25%. Result: {OK/FLAG}.</t>
  </si>
  <si>
    <t>Underuse can miss defense and visibility; overuse can harm efficiency if creative/targeting isn’t tight.</t>
  </si>
  <si>
    <t>12_Search_Terms_by_Category (SB)</t>
  </si>
  <si>
    <t>C038</t>
  </si>
  <si>
    <t>CatchAll vs WATM</t>
  </si>
  <si>
    <t>C039</t>
  </si>
  <si>
    <t>ATM Coverage for Top Sellers</t>
  </si>
  <si>
    <t>C040</t>
  </si>
  <si>
    <t>Check SBV spend share &lt;=20%.</t>
  </si>
  <si>
    <t>Overuse can increase ACoS.</t>
  </si>
  <si>
    <t>FLAG if &gt;20%.</t>
  </si>
  <si>
    <t>Observed: SBV spend share={pct}%. Rule: ≤20%. Result: {OK/FLAG}.</t>
  </si>
  <si>
    <t>Overuse can inflate ACoS and distort mix efficiency.</t>
  </si>
  <si>
    <t>12_Search_Terms_by_Category (SBV)</t>
  </si>
  <si>
    <t>C041</t>
  </si>
  <si>
    <t>Check SBTV spend share &lt;=5%.</t>
  </si>
  <si>
    <t>SBTV can overspend with high ACoS.</t>
  </si>
  <si>
    <t>FLAG if &gt;5%.</t>
  </si>
  <si>
    <t>Observed: SBTV spend share={pct}%. Rule: ≤5%. Result: {OK/FLAG}.</t>
  </si>
  <si>
    <t>SBTV can overspend quickly; high share is a governance risk if not tightly monitored.</t>
  </si>
  <si>
    <t>12_Search_Terms_by_Category (SBTV)</t>
  </si>
  <si>
    <t>Sponsored Display</t>
  </si>
  <si>
    <t>C042</t>
  </si>
  <si>
    <t>SB Spend Share</t>
  </si>
  <si>
    <t>Defensive gaps reduce listing protection.</t>
  </si>
  <si>
    <t>FLAG if no SD_SPT; PARTIAL if missing per relevant categories.</t>
  </si>
  <si>
    <t>Observed: SD_SPT present={YES/NO}; coverage gaps={gap_summary}. Result: {OK/PARTIAL/FLAG}.</t>
  </si>
  <si>
    <t>SD defense protects listing real estate; gaps reduce protection against competitor retargeting/conquesting.</t>
  </si>
  <si>
    <t>SD tabs (TBD)</t>
  </si>
  <si>
    <t>C043</t>
  </si>
  <si>
    <t>Too much VCPM can distort attribution &amp; spend.</t>
  </si>
  <si>
    <t>Excess VCPM can distort attribution and inflate spend without proportional sales.</t>
  </si>
  <si>
    <t>12_Search_Terms_by_Category (SD)</t>
  </si>
  <si>
    <t>C044</t>
  </si>
  <si>
    <t>Check VCPM sales share &lt;=20%.</t>
  </si>
  <si>
    <t>Too much VCPM sales skews ad vs total sales view.</t>
  </si>
  <si>
    <t>Observed: SD VCPM sales share={pct}%. Rule: ≤20%. Result: {OK/FLAG}.</t>
  </si>
  <si>
    <t>High VCPM sales share can misrepresent true incremental performance and skew channel interpretation.</t>
  </si>
  <si>
    <t>C045</t>
  </si>
  <si>
    <t>SBV Spend Share</t>
  </si>
  <si>
    <t>C046</t>
  </si>
  <si>
    <t>SBTV Spend Share</t>
  </si>
  <si>
    <t>Caps delivery and distorts conversion signals.</t>
  </si>
  <si>
    <t>C047</t>
  </si>
  <si>
    <t>SD Defensive Coverage</t>
  </si>
  <si>
    <t>Check cleanup done each 90 days / quarterly.</t>
  </si>
  <si>
    <t>Zombie campaigns dilute spend and reduce learning efficiency.</t>
  </si>
  <si>
    <t>Manual check: OK if done in last 90 days; else FLAG.</t>
  </si>
  <si>
    <t>Observed: last cleanup date={date}. Rule: within last 90 days. Result: {OK/FLAG}.</t>
  </si>
  <si>
    <t>Zombie campaigns dilute spend and learning; regular cleanup maintains structure quality and signal integrity.</t>
  </si>
  <si>
    <t>Manual / ops log (TBD)</t>
  </si>
  <si>
    <t>C048</t>
  </si>
  <si>
    <t>SD VCPM Spend Share</t>
  </si>
  <si>
    <t>SD VCPM Sales Share</t>
  </si>
  <si>
    <t>Out of Budget (Consecutive Days)</t>
  </si>
  <si>
    <t>Check StopAudienceAutoLink==FALSE.</t>
  </si>
  <si>
    <t>Auto-linking can create uncontrolled audience expansion.</t>
  </si>
  <si>
    <t>Observed: StopAudienceAutoLink={TRUE/FALSE}. Rule: must be FALSE. Result: {OK/FLAG}.</t>
  </si>
  <si>
    <t>Auto-linking can expand audiences without governance, increasing spend risk and reducing targeting control.</t>
  </si>
  <si>
    <t>41_Seller_Parameter_Insights_Da (FA)</t>
  </si>
  <si>
    <t>Cleanup &amp; Relaunch Cadence</t>
  </si>
  <si>
    <t>Check IsB2bPlacementManagement==TRUE.</t>
  </si>
  <si>
    <t>Ensures B2B opportunity capture.</t>
  </si>
  <si>
    <t>Observed: IsB2bPlacementManagement={TRUE/FALSE}. Rule: must be TRUE. Result: {OK/FLAG}.</t>
  </si>
  <si>
    <t>Disabling B2B placement limits B2B opportunity capture and can reduce performance for eligible accounts.</t>
  </si>
  <si>
    <t>41_Seller_Parameter_Insights_Da (FE)</t>
  </si>
  <si>
    <t>Check HasDisplayPromote==TRUE.</t>
  </si>
  <si>
    <t>Allows system to promote new SD based on performance.</t>
  </si>
  <si>
    <t>Observed: HasDisplayPromote={TRUE/FALSE}. Rule: must be TRUE. Result: {OK/FLAG}.</t>
  </si>
  <si>
    <t>If disabled, the system can’t promote Sponsored Display based on performance signals, reducing scaling efficiency.</t>
  </si>
  <si>
    <t>41_Seller_Parameter_Insights_Da (DE)</t>
  </si>
  <si>
    <t>Check ChangeSBV==TRUE.</t>
  </si>
  <si>
    <t>Allows system to manage SBV campaigns.</t>
  </si>
  <si>
    <t>Observed: ChangeSBV={TRUE/FALSE}. Rule: must be TRUE. Result: {OK/FLAG}.</t>
  </si>
  <si>
    <t>If disabled, SBV can’t be managed automatically, increasing risk of inefficient spend or missed opportunity.</t>
  </si>
  <si>
    <t>41_Seller_Parameter_Insights_Da (DF)</t>
  </si>
  <si>
    <t>Manual expansion breaks one-on-one governance and introduces structural inconsistency that the system can’t reliably optimize.</t>
  </si>
  <si>
    <t>42_ARIS__Manual_Recomendation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</si>
  <si>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</si>
  <si>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</si>
  <si>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</si>
  <si>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</si>
  <si>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</si>
  <si>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</si>
  <si>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</si>
  <si>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</si>
  <si>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The account framework is compliant. Core governance controls are correctly configured, enabling stable optimization and scalable performance.</t>
  </si>
  <si>
    <t>Final Score</t>
  </si>
  <si>
    <t>40–&lt;75 = Need Improvement</t>
  </si>
  <si>
    <t>High</t>
  </si>
  <si>
    <t>Need Improvement</t>
  </si>
  <si>
    <t>Structural deviations were identified that limit full system governance. Remediation is required before scaling.</t>
  </si>
  <si>
    <t>&lt;40 = Non-Compliant</t>
  </si>
  <si>
    <t>Non-Compliant</t>
  </si>
  <si>
    <t>Critical framework gaps were identified that materially restrict system control and optimization. Immediate remediation is required prior to any scaling activity.</t>
  </si>
  <si>
    <t>Partial weighting</t>
  </si>
  <si>
    <t>PARTIAL uses 50% of Priority</t>
  </si>
  <si>
    <t>Low</t>
  </si>
  <si>
    <t>Visibility</t>
  </si>
  <si>
    <t>Check for manual SP one-on-one drift (adgroups/targets).</t>
  </si>
  <si>
    <t>Manual expansion breaks one-on-one governance.</t>
  </si>
  <si>
    <t>OK if no data; FLAG if discrepancies present.</t>
  </si>
  <si>
    <t>Observed: manual one-on-one drift detected={YES/NO}; discrepancies={count}. Result: {OK/FLAG}.</t>
  </si>
  <si>
    <t>Is Compliant</t>
  </si>
  <si>
    <t>RBO - Sponsored Products</t>
  </si>
  <si>
    <t>Branded vs Non-Branded Mix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</si>
  <si>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</si>
  <si>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</si>
  <si>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</si>
  <si>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</si>
  <si>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Framework Version &gt; </t>
  </si>
  <si>
    <t>75–100 = Is Compliant</t>
  </si>
  <si>
    <t xml:space="preserve">Download Date &gt; </t>
  </si>
  <si>
    <t>v3.0</t>
  </si>
  <si>
    <t>Check existence of SPT per brand/category + spend concentration. ( And the category TOTAL SALES SHOULD be more than 5%)</t>
  </si>
  <si>
    <t>Check SD_SPT / Real Estate coverage for top sellers/categories. (Needs to identify if we have SD_Real State)</t>
  </si>
  <si>
    <t>Unmanaged ASIN</t>
  </si>
  <si>
    <t>ATM Catalog Coverage</t>
  </si>
  <si>
    <t>SB + SBV Combined Spend Share</t>
  </si>
  <si>
    <t>FLAG if &gt;5 changes in last 90 days (only evaluate within last 6 months).</t>
  </si>
  <si>
    <t>Observed: {num_changes_90d} ACoS target changes in last 90 days (within last 6 months). Rule: ≤5. Result: {PASS/FLAG}.</t>
  </si>
  <si>
    <t>Check MinBid is exactly $0.02.</t>
  </si>
  <si>
    <t>FLAG if MinBid ≠ $0.02.</t>
  </si>
  <si>
    <t>Observed: MinBid = ${value}. Rule: must equal $0.02. Result: {OK/FLAG}.</t>
  </si>
  <si>
    <t>Any deviation from the $0.02 MinBid changes the system's bid floor and can distort efficiency controls.</t>
  </si>
  <si>
    <t>Check MaxConversionRate is exactly 25%.</t>
  </si>
  <si>
    <t>FLAG if MaxConversionRate ≠ 25%.</t>
  </si>
  <si>
    <t>Observed: MaxConversionRate = {value}%. Rule: must equal 25%. Result: {OK/FLAG}.</t>
  </si>
  <si>
    <t>Any deviation from the 25% default alters bid logic and can suppress or inflate bidding beyond rational bounds.</t>
  </si>
  <si>
    <t>FLAG if promote/negate min clicks != 0 (default).</t>
  </si>
  <si>
    <t>Observed: promote/negate min clicks = {value}. Rule: 0 (default). Result: {OK/FLAG}.</t>
  </si>
  <si>
    <t>Check if TIER 30 ASINs with &gt;1.5 orders/day (≥45 orders in 30d) have ATM spend assigned.</t>
  </si>
  <si>
    <t>FLAG if TIER 30 ASINs with &gt;1.5 orders/day have zero ATM spend.</t>
  </si>
  <si>
    <t>Observed: {num_top_seller_asins} TIER 30 ASIN(s) with &gt;1.5 orders/day and no ATM spend. Result: {OK/FLAG}.</t>
  </si>
  <si>
    <t>Top-selling ASINs without ATM coverage miss targeted bidding opportunities and leave high-velocity products under-optimized.</t>
  </si>
  <si>
    <t>14_Campaign_Performance_by_Adve (Tier col T, ATM_Spend, Orders)</t>
  </si>
  <si>
    <t>Check if ASINs with &lt;1.5 orders/day have ATM spend active.</t>
  </si>
  <si>
    <t>ATM on low-velocity ASINs wastes budget and distorts catalog efficiency.</t>
  </si>
  <si>
    <t>FLAG if &gt;20% of ASINs have &lt;1.5 orders/day with ATM spend active; PARTIAL if 10%–20%.</t>
  </si>
  <si>
    <t>Observed: {num_affected_asins} of {total_asins} ASINs ({pct}%) with &lt;1.5 orders/day have ATM spend active. Rule: &lt;10% OK, 10–20% PARTIAL, &gt;20% FLAG.</t>
  </si>
  <si>
    <t>ATM spend on low-velocity ASINs inflates cost without proportional return and reduces overall catalog efficiency.</t>
  </si>
  <si>
    <t>14_Campaign_Performance_by_Adve (ATM_Spend, Orders)</t>
  </si>
  <si>
    <t>Check branded spend share and branded sales share (both calculated from 12_Search_Terms_by_Category).</t>
  </si>
  <si>
    <t>FLAG if &lt;1% or &gt;35%; PARTIAL if 1–5% or 20–35%; OK if 5–20%. Worst result between spend and sales wins.</t>
  </si>
  <si>
    <t>Observed: branded spend share={spend_pct}%; branded sales share={sales_pct}%. Rule: 5–20% OK, 1–5%/20–35% PARTIAL, &lt;1%/&gt;35% FLAG.</t>
  </si>
  <si>
    <t>Too low suggests weak defense; too high suggests over-reliance on branded demand. Both spend and sales signals are evaluated.</t>
  </si>
  <si>
    <t>12_Search_Terms_by_Category (ad_spend col B, ad_sales col D)</t>
  </si>
  <si>
    <t>Check combined SB + SBV spend share against total account spend.</t>
  </si>
  <si>
    <t>Combined SB and SBV overuse can inflate ACoS and distort overall channel mix.</t>
  </si>
  <si>
    <t>FLAG if combined SB + SBV spend share &gt;40%; PARTIAL if &gt;30%.</t>
  </si>
  <si>
    <t>Observed: combined SB + SBV spend share = {pct}%. Rule: ≤30% OK, 30–40% PARTIAL, &gt;40% FLAG.</t>
  </si>
  <si>
    <t>High combined upper-funnel spend can hurt efficiency if not supported by strong creative performance and sufficient conversion volume.</t>
  </si>
  <si>
    <t>09_Campaigns_Grouped_by_Amazon_ (Spend col H)</t>
  </si>
  <si>
    <t>Check VCPM spend share against total spend.</t>
  </si>
  <si>
    <t>PARTIAL if VCPM spend share 5–10%; FLAG if &gt;10%.</t>
  </si>
  <si>
    <t>Observed: SD VCPM spend share={pct}%. Rule: ≤5% OK, 5–10% PARTIAL, &gt;10% FLAG. Result: {OK/PARTIAL/FLAG}.</t>
  </si>
  <si>
    <t>Check if account hits daily budget cap 3 or more distinct days in the last 30 days.</t>
  </si>
  <si>
    <t>FLAG if ≥3 distinct OOB days in last 30 days; PARTIAL if 2 days; OK if ≤1 day or no data.</t>
  </si>
  <si>
    <t>Observed: {num_oob_days} distinct out-of-budget days in last 30 days. Rule: &lt;2 OK, 2 PARTIAL, ≥3 FLAG.</t>
  </si>
  <si>
    <t>Repeated budget caps suppress delivery and distort conversion signals, reducing optimization reliability.</t>
  </si>
  <si>
    <t>36_Account_Out_of_Budget</t>
  </si>
  <si>
    <t>What You Should Do</t>
  </si>
  <si>
    <t>Stop changing the ACoS so much</t>
  </si>
  <si>
    <t xml:space="preserve">Be mindfull on the % changes of your ACoS </t>
  </si>
  <si>
    <t>Disable Quartile Factor</t>
  </si>
  <si>
    <t xml:space="preserve">Disable VAM Baseline </t>
  </si>
  <si>
    <t xml:space="preserve">Remove Negative targets that are not related to Events and Promotions </t>
  </si>
  <si>
    <t>Complete all the tags on the account - Utilize the Tag Maker on Claude or ChatGPT</t>
  </si>
  <si>
    <t xml:space="preserve">Include Brand terms on the Portal </t>
  </si>
  <si>
    <t xml:space="preserve">Include Competitor terms on the Portal </t>
  </si>
  <si>
    <t xml:space="preserve">Revisit campaigns that are not on our Framework </t>
  </si>
  <si>
    <t xml:space="preserve">Disable the Self Service on Settings </t>
  </si>
  <si>
    <t>Return to default values</t>
  </si>
  <si>
    <t>Enable Budget Management Toggle</t>
  </si>
  <si>
    <t>Enable Placement Modifier Toggle</t>
  </si>
  <si>
    <t>Enable Hourly Bidding Toggle</t>
  </si>
  <si>
    <t>Disable Auto Import Campaigns Toggle</t>
  </si>
  <si>
    <t>Disable Stop Audience Auto-Link Toggle</t>
  </si>
  <si>
    <t>Enable B2B Placement Management Toggle</t>
  </si>
  <si>
    <t>Enable Has Display Promote Toggle</t>
  </si>
  <si>
    <t>Enable ChangeSBV Toggle</t>
  </si>
  <si>
    <t>Launch ATM campaings for Best selling items</t>
  </si>
  <si>
    <t xml:space="preserve">Revisit Brand keyword coverage - Launch new BAK campaign based on Branded terms + Category </t>
  </si>
  <si>
    <t xml:space="preserve">Launch Sponsored Brand Campaigns </t>
  </si>
  <si>
    <t>Revisit level of spending on the current campaigns / Clean Up / Revisit with client Spending Allowence / ACoS target change</t>
  </si>
  <si>
    <t xml:space="preserve">Proceed with a Clean up on the account - Relaunch will depend on your Strategy </t>
  </si>
  <si>
    <t xml:space="preserve">Decrease level of spending and impressions from VCPM campaigns </t>
  </si>
  <si>
    <t xml:space="preserve">Decrease level of spending and impressions from SBTV campaigns </t>
  </si>
  <si>
    <t xml:space="preserve">Decrease level of spending and impressions from SBV campaigns </t>
  </si>
  <si>
    <t xml:space="preserve">Decrease level of spending and impressions from SB and SBV campaigns </t>
  </si>
  <si>
    <t xml:space="preserve">Revisit ATM campaigns that we do not meet the thrashold of 1,5 orders per day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</si>
</sst>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D0D0D0"/>
      </left>
      <right/>
      <top style="thin">
        <color rgb="FFD0D0D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D0D0D0"/>
      </left>
      <right style="thin">
        <color rgb="FFD0D0D0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7" fillId="3" borderId="0" xfId="0" applyFont="1" applyFill="1"/>
    <xf numFmtId="0" fontId="6" fillId="0" borderId="2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left" vertical="top" wrapText="1"/>
    </xf>
    <xf numFmtId="0" fontId="5" fillId="2" borderId="6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left" vertical="top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8" fillId="4" borderId="0" xfId="0" applyFont="1" applyFill="1"/>
    <xf numFmtId="0" fontId="5" fillId="2" borderId="10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0" borderId="0" xfId="0" applyAlignment="1">
      <alignment horizontal="center"/>
    </xf>
    <xf numFmtId="0" fontId="5" fillId="2" borderId="9" xfId="0" applyFont="1" applyFill="1" applyBorder="1" applyAlignment="1">
      <alignment horizontal="center" wrapText="1"/>
    </xf>
    <xf numFmtId="0" fontId="6" fillId="0" borderId="7" xfId="0" applyFont="1" applyBorder="1" applyAlignment="1">
      <alignment horizont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6" fillId="6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22" fontId="0" fillId="5" borderId="0" xfId="0" applyNumberFormat="1" applyFill="1" applyAlignment="1">
      <alignment horizontal="left"/>
    </xf>
    <xf numFmtId="0" fontId="5" fillId="2" borderId="16" xfId="0" applyFont="1" applyFill="1" applyBorder="1" applyAlignment="1">
      <alignment horizontal="center" vertical="center" wrapText="1"/>
    </xf>
    <xf numFmtId="0" fontId="1" fillId="7" borderId="14" xfId="0" applyFont="1" applyFill="1" applyBorder="1" applyAlignment="1">
      <alignment horizontal="center" vertical="center"/>
    </xf>
    <xf numFmtId="0" fontId="0" fillId="7" borderId="15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4" fillId="0" borderId="0" xfId="0" applyFont="1" applyAlignment="1">
      <alignment horizontal="left" vertical="top" wrapText="1"/>
    </xf>
    <xf numFmtId="0" fontId="9" fillId="5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center"/>
    </xf>
  </cellXfs>
  <cellStyles count="1">
    <cellStyle name="Normal" xfId="0" builtinId="0"/>
  </cellStyles>
  <dxfs count="27"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medium">
          <color indexed="64"/>
        </right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Calibri"/>
        <family val="2"/>
      </font>
      <fill>
        <patternFill patternType="solid">
          <fgColor indexed="64"/>
          <bgColor rgb="FF1F4E79"/>
        </patternFill>
      </fill>
      <alignment horizontal="center" vertical="center" wrapText="1"/>
      <border outline="0">
        <left style="thin">
          <color rgb="FFD0D0D0"/>
        </left>
        <right style="thin">
          <color rgb="FFD0D0D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O49" totalsRowShown="0" headerRowDxfId="26" dataDxfId="25" tableBorderDxfId="24">
  <autoFilter ref="A1:O49" xr:uid="{00000000-0009-0000-0100-000001000000}"/>
  <tableColumns count="15">
    <tableColumn id="1" xr3:uid="{00000000-0010-0000-0000-000001000000}" name="Block" dataDxfId="23"/>
    <tableColumn id="2" xr3:uid="{00000000-0010-0000-0000-000002000000}" name="Control ID" dataDxfId="22"/>
    <tableColumn id="3" xr3:uid="{00000000-0010-0000-0000-000003000000}" name="Control Name" dataDxfId="21"/>
    <tableColumn id="4" xr3:uid="{00000000-0010-0000-0000-000004000000}" name="STATUS" dataDxfId="20"/>
    <tableColumn id="5" xr3:uid="{00000000-0010-0000-0000-000005000000}" name="What" dataDxfId="19"/>
    <tableColumn id="6" xr3:uid="{00000000-0010-0000-0000-000006000000}" name="Why" dataDxfId="18"/>
    <tableColumn id="7" xr3:uid="{00000000-0010-0000-0000-000007000000}" name="How" dataDxfId="17"/>
    <tableColumn id="14" xr3:uid="{00000000-0010-0000-0000-00000E000000}" name="What We Saw" dataDxfId="16"/>
    <tableColumn id="13" xr3:uid="{00000000-0010-0000-0000-00000D000000}" name="Why It Matters" dataDxfId="15"/>
    <tableColumn id="15" xr3:uid="{372B1F72-8C81-497F-B421-FA45594BF45B}" name="What You Should Do" dataDxfId="14"/>
    <tableColumn id="8" xr3:uid="{00000000-0010-0000-0000-000008000000}" name="Data Source" dataDxfId="13"/>
    <tableColumn id="9" xr3:uid="{00000000-0010-0000-0000-000009000000}" name="Impact" dataDxfId="12"/>
    <tableColumn id="10" xr3:uid="{00000000-0010-0000-0000-00000A000000}" name="Importance" dataDxfId="11"/>
    <tableColumn id="11" xr3:uid="{00000000-0010-0000-0000-00000B000000}" name="Priority" dataDxfId="10"/>
    <tableColumn id="12" xr3:uid="{00000000-0010-0000-0000-00000C000000}" name="Notes/Intent" dataDxfId="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35"/>
  <sheetViews>
    <sheetView tabSelected="1" zoomScale="70" zoomScaleNormal="70" workbookViewId="0">
      <pane ySplit="8" topLeftCell="A9" activePane="bottomLeft" state="frozen"/>
      <selection pane="bottomLeft" activeCell="D21" sqref="D21"/>
    </sheetView>
  </sheetViews>
  <sheetFormatPr defaultRowHeight="14.4" x14ac:dyDescent="0.3"/>
  <cols>
    <col min="1" max="1" width="21.44140625" customWidth="1"/>
    <col min="2" max="2" width="27.5546875" customWidth="1"/>
    <col min="3" max="3" width="38.21875" customWidth="1"/>
    <col min="4" max="4" width="52" style="30" customWidth="1"/>
    <col min="5" max="6" width="50.21875" style="30" customWidth="1"/>
    <col min="7" max="7" width="36.21875" customWidth="1"/>
    <col min="8" max="8" width="26.77734375" bestFit="1" customWidth="1"/>
    <col min="9" max="9" width="21.5546875" bestFit="1" customWidth="1"/>
    <col min="10" max="10" width="26.21875" bestFit="1" customWidth="1"/>
    <col min="11" max="11" width="19.6640625" bestFit="1" customWidth="1"/>
    <col min="12" max="12" width="19.44140625" bestFit="1" customWidth="1"/>
    <col min="13" max="13" width="21.88671875" bestFit="1" customWidth="1"/>
    <col min="14" max="14" width="25" bestFit="1" customWidth="1"/>
    <col min="15" max="15" width="25.6640625" bestFit="1" customWidth="1"/>
    <col min="16" max="16" width="28.44140625" bestFit="1" customWidth="1"/>
    <col min="17" max="17" width="27.6640625" bestFit="1" customWidth="1"/>
    <col min="18" max="18" width="22.33203125" bestFit="1" customWidth="1"/>
    <col min="19" max="19" width="16.88671875" bestFit="1" customWidth="1"/>
    <col min="20" max="20" width="10.6640625" bestFit="1" customWidth="1"/>
    <col min="21" max="21" width="26.6640625" bestFit="1" customWidth="1"/>
    <col min="22" max="22" width="27.6640625" bestFit="1" customWidth="1"/>
    <col min="23" max="23" width="18.88671875" bestFit="1" customWidth="1"/>
    <col min="24" max="24" width="20" bestFit="1" customWidth="1"/>
    <col min="25" max="25" width="14.44140625" bestFit="1" customWidth="1"/>
    <col min="26" max="26" width="19.44140625" bestFit="1" customWidth="1"/>
    <col min="27" max="27" width="12.77734375" bestFit="1" customWidth="1"/>
    <col min="28" max="28" width="30.44140625" bestFit="1" customWidth="1"/>
    <col min="29" max="29" width="24.88671875" bestFit="1" customWidth="1"/>
    <col min="30" max="30" width="20.44140625" bestFit="1" customWidth="1"/>
    <col min="31" max="31" width="16.109375" bestFit="1" customWidth="1"/>
    <col min="32" max="32" width="21.5546875" bestFit="1" customWidth="1"/>
    <col min="33" max="33" width="25.77734375" bestFit="1" customWidth="1"/>
    <col min="34" max="34" width="16.88671875" bestFit="1" customWidth="1"/>
    <col min="35" max="35" width="24.109375" bestFit="1" customWidth="1"/>
    <col min="36" max="36" width="26" bestFit="1" customWidth="1"/>
    <col min="37" max="37" width="22.21875" bestFit="1" customWidth="1"/>
    <col min="38" max="38" width="28" bestFit="1" customWidth="1"/>
    <col min="39" max="39" width="22.21875" bestFit="1" customWidth="1"/>
    <col min="40" max="40" width="16.77734375" bestFit="1" customWidth="1"/>
    <col min="41" max="41" width="14.33203125" bestFit="1" customWidth="1"/>
    <col min="42" max="42" width="16.5546875" bestFit="1" customWidth="1"/>
    <col min="43" max="43" width="15.5546875" bestFit="1" customWidth="1"/>
    <col min="44" max="44" width="21.21875" bestFit="1" customWidth="1"/>
    <col min="45" max="45" width="19.33203125" bestFit="1" customWidth="1"/>
    <col min="46" max="46" width="20.21875" bestFit="1" customWidth="1"/>
    <col min="47" max="47" width="18.5546875" bestFit="1" customWidth="1"/>
    <col min="48" max="48" width="19.6640625" bestFit="1" customWidth="1"/>
    <col min="49" max="49" width="29.33203125" bestFit="1" customWidth="1"/>
    <col min="50" max="50" width="12.44140625" bestFit="1" customWidth="1"/>
    <col min="51" max="51" width="22.6640625" bestFit="1" customWidth="1"/>
    <col min="52" max="52" width="15.77734375" bestFit="1" customWidth="1"/>
    <col min="53" max="53" width="28.21875" bestFit="1" customWidth="1"/>
    <col min="54" max="54" width="21.5546875" bestFit="1" customWidth="1"/>
    <col min="55" max="55" width="26.33203125" bestFit="1" customWidth="1"/>
    <col min="56" max="56" width="19.5546875" bestFit="1" customWidth="1"/>
    <col min="57" max="57" width="11" bestFit="1" customWidth="1"/>
  </cols>
  <sheetData>
    <row r="1" spans="1:8" ht="28.05" customHeight="1" thickBot="1" x14ac:dyDescent="0.35">
      <c r="A1" s="36" t="s">
        <v>0</v>
      </c>
      <c r="B1" s="37"/>
      <c r="C1" s="37"/>
      <c r="D1" s="37"/>
      <c r="E1" s="37"/>
      <c r="F1" s="37"/>
      <c r="G1" s="37"/>
      <c r="H1" s="24"/>
    </row>
    <row r="2" spans="1:8" x14ac:dyDescent="0.3">
      <c r="A2" s="33" t="s">
        <v>376</v>
      </c>
      <c r="B2" s="24" t="s">
        <v>379</v>
      </c>
      <c r="C2" s="24"/>
      <c r="D2" s="38"/>
      <c r="E2" s="39"/>
      <c r="F2" s="39"/>
      <c r="G2" s="39"/>
      <c r="H2" s="24"/>
    </row>
    <row r="3" spans="1:8" x14ac:dyDescent="0.3">
      <c r="A3" s="32" t="s">
        <v>373</v>
      </c>
      <c r="B3" t="s">
        <v>374</v>
      </c>
      <c r="D3" s="31"/>
      <c r="E3"/>
      <c r="F3"/>
      <c r="H3" s="24"/>
    </row>
    <row r="4" spans="1:8" ht="14.4" customHeight="1" x14ac:dyDescent="0.3">
      <c r="A4" s="33" t="s">
        <v>372</v>
      </c>
      <c r="B4" s="24" t="s">
        <v>375</v>
      </c>
      <c r="C4" s="24"/>
      <c r="D4" s="38"/>
      <c r="E4" s="39"/>
      <c r="F4" s="39"/>
      <c r="G4" s="39"/>
      <c r="H4" s="24"/>
    </row>
    <row r="5" spans="1:8" ht="14.4" customHeight="1" x14ac:dyDescent="0.3">
      <c r="A5" s="33" t="s">
        <v>378</v>
      </c>
      <c r="B5" s="34">
        <v>46083.684884259259</v>
      </c>
      <c r="C5" s="24"/>
      <c r="D5" s="31"/>
      <c r="E5"/>
      <c r="F5"/>
      <c r="H5" s="24"/>
    </row>
    <row r="6" spans="1:8" x14ac:dyDescent="0.3">
      <c r="A6" s="24"/>
      <c r="B6" s="24"/>
      <c r="C6" s="24"/>
      <c r="D6" s="29"/>
      <c r="E6" s="29"/>
      <c r="F6" s="29"/>
      <c r="G6" s="24"/>
      <c r="H6" s="24"/>
    </row>
    <row r="7" spans="1:8" ht="21" customHeight="1" x14ac:dyDescent="0.3">
      <c r="A7" s="40" t="s">
        <v>1</v>
      </c>
      <c r="B7" s="39"/>
      <c r="C7" s="39"/>
      <c r="D7" s="43" t="str">
        <f>'Logic and Calculation'!B5</f>
        <v>Is Compliant</v>
      </c>
      <c r="E7" s="39"/>
      <c r="F7" s="39"/>
      <c r="G7" s="39"/>
      <c r="H7" s="24"/>
    </row>
    <row r="8" spans="1:8" ht="18" customHeight="1" x14ac:dyDescent="0.3">
      <c r="A8" s="40" t="s">
        <v>2</v>
      </c>
      <c r="B8" s="39"/>
      <c r="C8" s="39"/>
      <c r="D8" s="42" t="str">
        <f t="array" ref="D8">_xlfn.IFS(D7='Logic and Calculation'!L3,'Logic and Calculation'!M3,D7='Logic and Calculation'!L4,'Logic and Calculation'!M4,D7='Logic and Calculation'!L5,'Logic and Calculation'!M5)</f>
        <v>The account framework is compliant. Core governance controls are correctly configured, enabling stable optimization and scalable performance.</v>
      </c>
      <c r="E8" s="39"/>
      <c r="F8" s="39"/>
      <c r="G8" s="39"/>
      <c r="H8" s="24"/>
    </row>
    <row r="9" spans="1:8" ht="18" customHeight="1" x14ac:dyDescent="0.3">
      <c r="A9" s="24"/>
      <c r="B9" s="24"/>
      <c r="C9" s="24"/>
      <c r="D9" s="29"/>
      <c r="E9" s="29"/>
      <c r="F9" s="29"/>
      <c r="G9" s="24"/>
      <c r="H9" s="24"/>
    </row>
    <row r="10" spans="1:8" x14ac:dyDescent="0.3">
      <c r="A10" s="41" t="s">
        <v>3</v>
      </c>
      <c r="B10" s="39"/>
      <c r="C10" s="39"/>
      <c r="D10" s="39"/>
      <c r="E10" s="39"/>
      <c r="F10" s="39"/>
      <c r="G10" s="39"/>
    </row>
    <row r="11" spans="1:8" ht="19.95" customHeight="1" x14ac:dyDescent="0.3">
      <c r="A11" s="1" t="s">
        <v>4</v>
      </c>
      <c r="B11" s="1" t="s">
        <v>5</v>
      </c>
      <c r="C11" s="1" t="s">
        <v>6</v>
      </c>
      <c r="D11" s="1" t="s">
        <v>7</v>
      </c>
      <c r="E11" s="1" t="s">
        <v>8</v>
      </c>
      <c r="F11" s="1" t="s">
        <v>427</v>
      </c>
      <c r="G11" s="1" t="s">
        <v>9</v>
      </c>
      <c r="H11" s="22"/>
    </row>
    <row r="12" spans="1:8" ht="44.4" customHeight="1" x14ac:dyDescent="0.3">
      <c r="A12" s="25" t="str" cm="1">
        <f t="array" ref="A12">_xlfn.LET(
  _xlpm.id, Framework_Reference!B2:B49,
  _xlpm.name, Framework_Reference!C2:C49,
  _xlpm.st, Framework_Reference!D2:D49,
  _xlpm.saw, Framework_Reference!N2:N49,
  _xlpm.matter, Framework_Reference!I2:I49,
  _xlpm.wysd, Framework_Reference!J2:J49,
  _xlpm.impact, Framework_Reference!K2:K49,
  _xlpm.data, _xlfn.HSTACK(_xlpm.id, _xlpm.name, _xlpm.st, _xlpm.saw, _xlpm.matter, _xlpm.wysd, _xlpm.impact),
  IFERROR(_xlfn._xlws.FILTER(_xlpm.data, (_xlpm.st&lt;&gt;"OK")*(_xlpm.st&lt;&gt;"")), "No findings — all controls OK")
)</f>
        <v>No findings — all controls OK</v>
      </c>
      <c r="B12" s="25"/>
      <c r="C12" s="26"/>
      <c r="D12" s="27"/>
      <c r="E12" s="27"/>
      <c r="F12" s="27"/>
      <c r="G12" s="25"/>
      <c r="H12" s="24"/>
    </row>
    <row r="13" spans="1:8" ht="44.4" customHeight="1" x14ac:dyDescent="0.3">
      <c r="A13" s="25"/>
      <c r="B13" s="25"/>
      <c r="C13" s="23"/>
      <c r="D13" s="27"/>
      <c r="E13" s="27"/>
      <c r="F13" s="27"/>
      <c r="G13" s="25"/>
      <c r="H13" s="24"/>
    </row>
    <row r="14" spans="1:8" ht="44.4" customHeight="1" x14ac:dyDescent="0.3">
      <c r="A14" s="25"/>
      <c r="B14" s="25"/>
      <c r="C14" s="23"/>
      <c r="D14" s="27"/>
      <c r="E14" s="27"/>
      <c r="F14" s="27"/>
      <c r="G14" s="25"/>
      <c r="H14" s="24"/>
    </row>
    <row r="15" spans="1:8" ht="44.4" customHeight="1" x14ac:dyDescent="0.3">
      <c r="A15" s="25"/>
      <c r="B15" s="25"/>
      <c r="C15" s="23"/>
      <c r="D15" s="27"/>
      <c r="E15" s="27"/>
      <c r="F15" s="27"/>
      <c r="G15" s="25"/>
      <c r="H15" s="24"/>
    </row>
    <row r="16" spans="1:8" ht="44.4" customHeight="1" x14ac:dyDescent="0.3">
      <c r="A16" s="25"/>
      <c r="B16" s="25"/>
      <c r="C16" s="23"/>
      <c r="D16" s="27"/>
      <c r="E16" s="27"/>
      <c r="F16" s="27"/>
      <c r="G16" s="25"/>
      <c r="H16" s="24"/>
    </row>
    <row r="17" spans="1:8" ht="44.4" customHeight="1" x14ac:dyDescent="0.3">
      <c r="A17" s="25"/>
      <c r="B17" s="25"/>
      <c r="C17" s="23"/>
      <c r="D17" s="27"/>
      <c r="E17" s="27"/>
      <c r="F17" s="27"/>
      <c r="G17" s="25"/>
      <c r="H17" s="24"/>
    </row>
    <row r="18" spans="1:8" ht="44.4" customHeight="1" x14ac:dyDescent="0.3">
      <c r="A18" s="25"/>
      <c r="B18" s="25"/>
      <c r="C18" s="23"/>
      <c r="D18" s="27"/>
      <c r="E18" s="27"/>
      <c r="F18" s="27"/>
      <c r="G18" s="25"/>
      <c r="H18" s="24"/>
    </row>
    <row r="19" spans="1:8" ht="44.4" customHeight="1" x14ac:dyDescent="0.3">
      <c r="A19" s="25"/>
      <c r="B19" s="25"/>
      <c r="C19" s="23"/>
      <c r="D19" s="27"/>
      <c r="E19" s="27"/>
      <c r="F19" s="27"/>
      <c r="G19" s="25"/>
      <c r="H19" s="24"/>
    </row>
    <row r="20" spans="1:8" ht="44.4" customHeight="1" x14ac:dyDescent="0.3">
      <c r="A20" s="25"/>
      <c r="B20" s="25"/>
      <c r="C20" s="23"/>
      <c r="D20" s="27"/>
      <c r="E20" s="27"/>
      <c r="F20" s="27"/>
      <c r="G20" s="25"/>
      <c r="H20" s="24"/>
    </row>
    <row r="21" spans="1:8" ht="44.4" customHeight="1" x14ac:dyDescent="0.3">
      <c r="A21" s="25"/>
      <c r="B21" s="25"/>
      <c r="C21" s="23"/>
      <c r="D21" s="27"/>
      <c r="E21" s="27"/>
      <c r="F21" s="27"/>
      <c r="G21" s="25"/>
      <c r="H21" s="24"/>
    </row>
    <row r="22" spans="1:8" ht="44.4" customHeight="1" x14ac:dyDescent="0.3">
      <c r="A22" s="25"/>
      <c r="B22" s="25"/>
      <c r="C22" s="23"/>
      <c r="D22" s="27"/>
      <c r="E22" s="27"/>
      <c r="F22" s="27"/>
      <c r="G22" s="25"/>
      <c r="H22" s="24"/>
    </row>
    <row r="23" spans="1:8" ht="44.4" customHeight="1" x14ac:dyDescent="0.3">
      <c r="A23" s="25"/>
      <c r="B23" s="25"/>
      <c r="C23" s="23"/>
      <c r="D23" s="27"/>
      <c r="E23" s="27"/>
      <c r="F23" s="27"/>
      <c r="G23" s="25"/>
      <c r="H23" s="24"/>
    </row>
    <row r="24" spans="1:8" ht="44.4" customHeight="1" x14ac:dyDescent="0.3">
      <c r="A24" s="25"/>
      <c r="B24" s="25"/>
      <c r="C24" s="23"/>
      <c r="D24" s="27"/>
      <c r="E24" s="27"/>
      <c r="F24" s="27"/>
      <c r="G24" s="25"/>
      <c r="H24" s="24"/>
    </row>
    <row r="25" spans="1:8" ht="44.4" customHeight="1" x14ac:dyDescent="0.3">
      <c r="A25" s="25"/>
      <c r="B25" s="25"/>
      <c r="C25" s="23"/>
      <c r="D25" s="27"/>
      <c r="E25" s="27"/>
      <c r="F25" s="27"/>
      <c r="G25" s="25"/>
      <c r="H25" s="24"/>
    </row>
    <row r="26" spans="1:8" ht="44.4" customHeight="1" x14ac:dyDescent="0.3">
      <c r="A26" s="24"/>
      <c r="B26" s="24"/>
      <c r="C26" s="23"/>
      <c r="D26" s="29"/>
      <c r="E26" s="29"/>
      <c r="F26" s="29"/>
      <c r="G26" s="24"/>
      <c r="H26" s="24"/>
    </row>
    <row r="27" spans="1:8" ht="44.4" customHeight="1" x14ac:dyDescent="0.3">
      <c r="A27" s="24"/>
      <c r="B27" s="24"/>
      <c r="C27" s="23"/>
      <c r="D27" s="29"/>
      <c r="E27" s="29"/>
      <c r="F27" s="29"/>
      <c r="G27" s="24"/>
      <c r="H27" s="24"/>
    </row>
    <row r="28" spans="1:8" ht="44.4" customHeight="1" x14ac:dyDescent="0.3">
      <c r="A28" s="24"/>
      <c r="B28" s="24"/>
      <c r="C28" s="23"/>
      <c r="D28" s="29"/>
      <c r="E28" s="29"/>
      <c r="F28" s="29"/>
      <c r="G28" s="24"/>
      <c r="H28" s="24"/>
    </row>
    <row r="29" spans="1:8" ht="44.4" customHeight="1" x14ac:dyDescent="0.3">
      <c r="A29" s="24"/>
      <c r="B29" s="24"/>
      <c r="C29" s="23"/>
      <c r="D29" s="29"/>
      <c r="E29" s="29"/>
      <c r="F29" s="29"/>
      <c r="G29" s="24"/>
      <c r="H29" s="24"/>
    </row>
    <row r="30" spans="1:8" ht="44.4" customHeight="1" x14ac:dyDescent="0.3">
      <c r="A30" s="24"/>
      <c r="B30" s="24"/>
      <c r="C30" s="23"/>
      <c r="D30" s="29"/>
      <c r="E30" s="29"/>
      <c r="F30" s="29"/>
      <c r="G30" s="24"/>
      <c r="H30" s="24"/>
    </row>
    <row r="31" spans="1:8" ht="44.4" customHeight="1" x14ac:dyDescent="0.3">
      <c r="C31" s="23"/>
    </row>
    <row r="32" spans="1:8" ht="44.4" customHeight="1" x14ac:dyDescent="0.3">
      <c r="C32" s="23"/>
    </row>
    <row r="33" spans="3:3" ht="44.4" customHeight="1" x14ac:dyDescent="0.3">
      <c r="C33" s="23"/>
    </row>
    <row r="34" spans="3:3" ht="44.4" customHeight="1" x14ac:dyDescent="0.3">
      <c r="C34" s="23"/>
    </row>
    <row r="35" spans="3:3" ht="44.4" customHeight="1" x14ac:dyDescent="0.3">
      <c r="C35" s="23"/>
    </row>
  </sheetData>
  <mergeCells count="8">
    <mergeCell ref="A1:G1"/>
    <mergeCell ref="D4:G4"/>
    <mergeCell ref="A7:C7"/>
    <mergeCell ref="A10:G10"/>
    <mergeCell ref="D8:G8"/>
    <mergeCell ref="A8:C8"/>
    <mergeCell ref="D2:G2"/>
    <mergeCell ref="D7:G7"/>
  </mergeCells>
  <conditionalFormatting sqref="C12:C35">
    <cfRule type="cellIs" dxfId="8" priority="4" stopIfTrue="1" operator="equal">
      <formula>"OK"</formula>
    </cfRule>
    <cfRule type="cellIs" dxfId="7" priority="5" stopIfTrue="1" operator="equal">
      <formula>"PARTIAL"</formula>
    </cfRule>
    <cfRule type="cellIs" dxfId="6" priority="6" stopIfTrue="1" operator="equal">
      <formula>"FLAG"</formula>
    </cfRule>
  </conditionalFormatting>
  <conditionalFormatting sqref="D7:G7">
    <cfRule type="containsText" dxfId="5" priority="1" operator="containsText" text="Is Compliant">
      <formula>NOT(ISERROR(SEARCH("Is Compliant",D7)))</formula>
    </cfRule>
    <cfRule type="containsText" dxfId="4" priority="2" operator="containsText" text="Need Improvement">
      <formula>NOT(ISERROR(SEARCH("Need Improvement",D7)))</formula>
    </cfRule>
    <cfRule type="containsText" dxfId="3" priority="3" operator="containsText" text="Non-Compliant">
      <formula>NOT(ISERROR(SEARCH("Non-Compliant",D7)))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49"/>
  <sheetViews>
    <sheetView topLeftCell="B1" zoomScale="85" zoomScaleNormal="85" workbookViewId="0">
      <pane ySplit="1" topLeftCell="A43" activePane="bottomLeft" state="frozen"/>
      <selection pane="bottomLeft" activeCell="D43" sqref="D43"/>
    </sheetView>
  </sheetViews>
  <sheetFormatPr defaultRowHeight="14.4" x14ac:dyDescent="0.3"/>
  <cols>
    <col min="1" max="1" width="22" style="21" customWidth="1"/>
    <col min="2" max="2" width="10.5546875" style="21" customWidth="1"/>
    <col min="3" max="3" width="30" style="21" customWidth="1"/>
    <col min="4" max="4" width="8.44140625" style="16" customWidth="1"/>
    <col min="5" max="6" width="38" customWidth="1"/>
    <col min="7" max="7" width="30" customWidth="1"/>
    <col min="8" max="10" width="47.88671875" customWidth="1"/>
    <col min="11" max="11" width="13.5546875" customWidth="1"/>
    <col min="12" max="12" width="10" customWidth="1"/>
    <col min="13" max="13" width="11.6640625" customWidth="1"/>
    <col min="14" max="14" width="22" customWidth="1"/>
    <col min="15" max="15" width="39.44140625" customWidth="1"/>
  </cols>
  <sheetData>
    <row r="1" spans="1:15" ht="28.2" customHeight="1" thickBot="1" x14ac:dyDescent="0.35">
      <c r="A1" s="7" t="s">
        <v>10</v>
      </c>
      <c r="B1" s="10" t="s">
        <v>4</v>
      </c>
      <c r="C1" s="11" t="s">
        <v>5</v>
      </c>
      <c r="D1" s="17" t="s">
        <v>11</v>
      </c>
      <c r="E1" s="11" t="s">
        <v>12</v>
      </c>
      <c r="F1" s="11" t="s">
        <v>13</v>
      </c>
      <c r="G1" s="11" t="s">
        <v>14</v>
      </c>
      <c r="H1" s="1" t="s">
        <v>7</v>
      </c>
      <c r="I1" s="1" t="s">
        <v>8</v>
      </c>
      <c r="J1" s="35" t="s">
        <v>427</v>
      </c>
      <c r="K1" s="11" t="s">
        <v>15</v>
      </c>
      <c r="L1" s="11" t="s">
        <v>9</v>
      </c>
      <c r="M1" s="11" t="s">
        <v>16</v>
      </c>
      <c r="N1" s="11" t="s">
        <v>17</v>
      </c>
      <c r="O1" s="13" t="s">
        <v>18</v>
      </c>
    </row>
    <row r="2" spans="1:15" ht="36" customHeight="1" x14ac:dyDescent="0.3">
      <c r="A2" s="19" t="s">
        <v>19</v>
      </c>
      <c r="B2" s="8" t="s">
        <v>20</v>
      </c>
      <c r="C2" s="8" t="s">
        <v>21</v>
      </c>
      <c r="D2" s="18" t="s">
        <v>22</v>
      </c>
      <c r="E2" s="9" t="s">
        <v>23</v>
      </c>
      <c r="F2" s="9" t="s">
        <v>24</v>
      </c>
      <c r="G2" s="9" t="s">
        <v>25</v>
      </c>
      <c r="H2" s="9" t="s">
        <v>26</v>
      </c>
      <c r="I2" s="9" t="s">
        <v>27</v>
      </c>
      <c r="J2" s="9" t="s">
        <v>428</v>
      </c>
      <c r="K2" s="9" t="s">
        <v>28</v>
      </c>
      <c r="L2" s="4" t="str">
        <f>VLOOKUP(Table1[[#This Row],[Importance]],'Logic and Calculation'!$H$3:$J$12,3,FALSE)</f>
        <v>Medium</v>
      </c>
      <c r="M2" s="8">
        <v>5</v>
      </c>
      <c r="N2" s="4">
        <f>VLOOKUP(Table1[[#This Row],[Importance]],'Logic and Calculation'!$H$3:$J$12,2,FALSE)</f>
        <v>-7</v>
      </c>
      <c r="O2" s="14"/>
    </row>
    <row r="3" spans="1:15" ht="36" customHeight="1" x14ac:dyDescent="0.3">
      <c r="A3" s="20" t="s">
        <v>19</v>
      </c>
      <c r="B3" s="4" t="s">
        <v>30</v>
      </c>
      <c r="C3" s="4" t="s">
        <v>31</v>
      </c>
      <c r="D3" s="18" t="s">
        <v>22</v>
      </c>
      <c r="E3" s="3" t="s">
        <v>32</v>
      </c>
      <c r="F3" s="3" t="s">
        <v>33</v>
      </c>
      <c r="G3" s="3" t="s">
        <v>385</v>
      </c>
      <c r="H3" s="3" t="s">
        <v>386</v>
      </c>
      <c r="I3" s="3" t="s">
        <v>34</v>
      </c>
      <c r="J3" s="9" t="s">
        <v>428</v>
      </c>
      <c r="K3" s="3" t="s">
        <v>28</v>
      </c>
      <c r="L3" s="4" t="str">
        <f>VLOOKUP(Table1[[#This Row],[Importance]],'Logic and Calculation'!$H$3:$J$12,3,FALSE)</f>
        <v>Medium</v>
      </c>
      <c r="M3" s="4">
        <v>5</v>
      </c>
      <c r="N3" s="4">
        <f>VLOOKUP(Table1[[#This Row],[Importance]],'Logic and Calculation'!$H$3:$J$12,2,FALSE)</f>
        <v>-7</v>
      </c>
      <c r="O3" s="15"/>
    </row>
    <row r="4" spans="1:15" ht="36" customHeight="1" x14ac:dyDescent="0.3">
      <c r="A4" s="20" t="s">
        <v>19</v>
      </c>
      <c r="B4" s="4" t="s">
        <v>35</v>
      </c>
      <c r="C4" s="4" t="s">
        <v>36</v>
      </c>
      <c r="D4" s="18" t="s">
        <v>22</v>
      </c>
      <c r="E4" s="3" t="s">
        <v>37</v>
      </c>
      <c r="F4" s="3" t="s">
        <v>38</v>
      </c>
      <c r="G4" s="3" t="s">
        <v>39</v>
      </c>
      <c r="H4" s="3" t="s">
        <v>40</v>
      </c>
      <c r="I4" s="3" t="s">
        <v>41</v>
      </c>
      <c r="J4" s="3" t="s">
        <v>429</v>
      </c>
      <c r="K4" s="3" t="s">
        <v>28</v>
      </c>
      <c r="L4" s="4" t="str">
        <f>VLOOKUP(Table1[[#This Row],[Importance]],'Logic and Calculation'!$H$3:$J$12,3,FALSE)</f>
        <v>Medium</v>
      </c>
      <c r="M4" s="4">
        <v>5</v>
      </c>
      <c r="N4" s="4">
        <f>VLOOKUP(Table1[[#This Row],[Importance]],'Logic and Calculation'!$H$3:$J$12,2,FALSE)</f>
        <v>-7</v>
      </c>
      <c r="O4" s="15"/>
    </row>
    <row r="5" spans="1:15" ht="48" customHeight="1" x14ac:dyDescent="0.3">
      <c r="A5" s="20" t="s">
        <v>19</v>
      </c>
      <c r="B5" s="4" t="s">
        <v>42</v>
      </c>
      <c r="C5" s="4" t="s">
        <v>43</v>
      </c>
      <c r="D5" s="18" t="s">
        <v>22</v>
      </c>
      <c r="E5" s="3" t="s">
        <v>44</v>
      </c>
      <c r="F5" s="3" t="s">
        <v>45</v>
      </c>
      <c r="G5" s="3" t="s">
        <v>46</v>
      </c>
      <c r="H5" s="3" t="s">
        <v>47</v>
      </c>
      <c r="I5" s="3" t="s">
        <v>48</v>
      </c>
      <c r="J5" s="3" t="s">
        <v>430</v>
      </c>
      <c r="K5" s="3" t="s">
        <v>49</v>
      </c>
      <c r="L5" s="4" t="str">
        <f>VLOOKUP(Table1[[#This Row],[Importance]],'Logic and Calculation'!$H$3:$J$12,3,FALSE)</f>
        <v>Critical</v>
      </c>
      <c r="M5" s="4">
        <v>10</v>
      </c>
      <c r="N5" s="4">
        <f>VLOOKUP(Table1[[#This Row],[Importance]],'Logic and Calculation'!$H$3:$J$12,2,FALSE)</f>
        <v>-18</v>
      </c>
      <c r="O5" s="15"/>
    </row>
    <row r="6" spans="1:15" ht="36" customHeight="1" x14ac:dyDescent="0.3">
      <c r="A6" s="20" t="s">
        <v>19</v>
      </c>
      <c r="B6" s="4" t="s">
        <v>50</v>
      </c>
      <c r="C6" s="4" t="s">
        <v>51</v>
      </c>
      <c r="D6" s="18" t="s">
        <v>22</v>
      </c>
      <c r="E6" s="3" t="s">
        <v>52</v>
      </c>
      <c r="F6" s="3" t="s">
        <v>53</v>
      </c>
      <c r="G6" s="3" t="s">
        <v>54</v>
      </c>
      <c r="H6" s="3" t="s">
        <v>55</v>
      </c>
      <c r="I6" s="3" t="s">
        <v>56</v>
      </c>
      <c r="J6" s="3" t="s">
        <v>431</v>
      </c>
      <c r="K6" s="3" t="s">
        <v>57</v>
      </c>
      <c r="L6" s="4" t="str">
        <f>VLOOKUP(Table1[[#This Row],[Importance]],'Logic and Calculation'!$H$3:$J$12,3,FALSE)</f>
        <v>Critical</v>
      </c>
      <c r="M6" s="4">
        <v>10</v>
      </c>
      <c r="N6" s="4">
        <f>VLOOKUP(Table1[[#This Row],[Importance]],'Logic and Calculation'!$H$3:$J$12,2,FALSE)</f>
        <v>-18</v>
      </c>
      <c r="O6" s="15"/>
    </row>
    <row r="7" spans="1:15" ht="48" customHeight="1" x14ac:dyDescent="0.3">
      <c r="A7" s="20" t="s">
        <v>19</v>
      </c>
      <c r="B7" s="4" t="s">
        <v>58</v>
      </c>
      <c r="C7" s="4" t="s">
        <v>59</v>
      </c>
      <c r="D7" s="18" t="s">
        <v>22</v>
      </c>
      <c r="E7" s="3" t="s">
        <v>60</v>
      </c>
      <c r="F7" s="3" t="s">
        <v>61</v>
      </c>
      <c r="G7" s="3" t="s">
        <v>62</v>
      </c>
      <c r="H7" s="3" t="s">
        <v>63</v>
      </c>
      <c r="I7" s="3" t="s">
        <v>64</v>
      </c>
      <c r="J7" s="3"/>
      <c r="K7" s="3" t="s">
        <v>65</v>
      </c>
      <c r="L7" s="4" t="str">
        <f>VLOOKUP(Table1[[#This Row],[Importance]],'Logic and Calculation'!$H$3:$J$12,3,FALSE)</f>
        <v>Medium</v>
      </c>
      <c r="M7" s="4">
        <v>7</v>
      </c>
      <c r="N7" s="4">
        <f>VLOOKUP(Table1[[#This Row],[Importance]],'Logic and Calculation'!$H$3:$J$12,2,FALSE)</f>
        <v>-11</v>
      </c>
      <c r="O7" s="15"/>
    </row>
    <row r="8" spans="1:15" ht="36" customHeight="1" x14ac:dyDescent="0.3">
      <c r="A8" s="20" t="s">
        <v>19</v>
      </c>
      <c r="B8" s="4" t="s">
        <v>66</v>
      </c>
      <c r="C8" s="4" t="s">
        <v>67</v>
      </c>
      <c r="D8" s="18" t="s">
        <v>22</v>
      </c>
      <c r="E8" s="3" t="s">
        <v>68</v>
      </c>
      <c r="F8" s="3" t="s">
        <v>69</v>
      </c>
      <c r="G8" s="3" t="s">
        <v>70</v>
      </c>
      <c r="H8" s="3" t="s">
        <v>71</v>
      </c>
      <c r="I8" s="3" t="s">
        <v>72</v>
      </c>
      <c r="J8" s="3"/>
      <c r="K8" s="3" t="s">
        <v>73</v>
      </c>
      <c r="L8" s="4" t="str">
        <f>VLOOKUP(Table1[[#This Row],[Importance]],'Logic and Calculation'!$H$3:$J$12,3,FALSE)</f>
        <v>Medium</v>
      </c>
      <c r="M8" s="4">
        <v>7</v>
      </c>
      <c r="N8" s="4">
        <f>VLOOKUP(Table1[[#This Row],[Importance]],'Logic and Calculation'!$H$3:$J$12,2,FALSE)</f>
        <v>-11</v>
      </c>
      <c r="O8" s="15"/>
    </row>
    <row r="9" spans="1:15" ht="24" customHeight="1" x14ac:dyDescent="0.3">
      <c r="A9" s="20" t="s">
        <v>19</v>
      </c>
      <c r="B9" s="4" t="s">
        <v>74</v>
      </c>
      <c r="C9" s="4" t="s">
        <v>75</v>
      </c>
      <c r="D9" s="18" t="s">
        <v>22</v>
      </c>
      <c r="E9" s="3" t="s">
        <v>76</v>
      </c>
      <c r="F9" s="3" t="s">
        <v>77</v>
      </c>
      <c r="G9" s="3" t="s">
        <v>78</v>
      </c>
      <c r="H9" s="3" t="s">
        <v>79</v>
      </c>
      <c r="I9" s="3" t="s">
        <v>80</v>
      </c>
      <c r="J9" s="3"/>
      <c r="K9" s="3" t="s">
        <v>81</v>
      </c>
      <c r="L9" s="4" t="str">
        <f>VLOOKUP(Table1[[#This Row],[Importance]],'Logic and Calculation'!$H$3:$J$12,3,FALSE)</f>
        <v>Medium</v>
      </c>
      <c r="M9" s="4">
        <v>7</v>
      </c>
      <c r="N9" s="4">
        <f>VLOOKUP(Table1[[#This Row],[Importance]],'Logic and Calculation'!$H$3:$J$12,2,FALSE)</f>
        <v>-11</v>
      </c>
      <c r="O9" s="15"/>
    </row>
    <row r="10" spans="1:15" ht="60" customHeight="1" x14ac:dyDescent="0.3">
      <c r="A10" s="20" t="s">
        <v>19</v>
      </c>
      <c r="B10" s="4" t="s">
        <v>82</v>
      </c>
      <c r="C10" s="4" t="s">
        <v>85</v>
      </c>
      <c r="D10" s="18" t="s">
        <v>22</v>
      </c>
      <c r="E10" s="3" t="s">
        <v>86</v>
      </c>
      <c r="F10" s="3" t="s">
        <v>87</v>
      </c>
      <c r="G10" s="3" t="s">
        <v>88</v>
      </c>
      <c r="H10" s="3" t="s">
        <v>89</v>
      </c>
      <c r="I10" s="3" t="s">
        <v>90</v>
      </c>
      <c r="J10" s="3" t="s">
        <v>432</v>
      </c>
      <c r="K10" s="3" t="s">
        <v>91</v>
      </c>
      <c r="L10" s="4" t="str">
        <f>VLOOKUP(Table1[[#This Row],[Importance]],'Logic and Calculation'!$H$3:$J$12,3,FALSE)</f>
        <v>Medium</v>
      </c>
      <c r="M10" s="4">
        <v>6</v>
      </c>
      <c r="N10" s="4">
        <f>VLOOKUP(Table1[[#This Row],[Importance]],'Logic and Calculation'!$H$3:$J$12,2,FALSE)</f>
        <v>-9</v>
      </c>
      <c r="O10" s="15"/>
    </row>
    <row r="11" spans="1:15" ht="60" customHeight="1" x14ac:dyDescent="0.3">
      <c r="A11" s="20" t="s">
        <v>19</v>
      </c>
      <c r="B11" s="4" t="s">
        <v>83</v>
      </c>
      <c r="C11" s="4" t="s">
        <v>93</v>
      </c>
      <c r="D11" s="18" t="s">
        <v>22</v>
      </c>
      <c r="E11" s="3" t="s">
        <v>94</v>
      </c>
      <c r="F11" s="3" t="s">
        <v>95</v>
      </c>
      <c r="G11" s="3" t="s">
        <v>96</v>
      </c>
      <c r="H11" s="3" t="s">
        <v>97</v>
      </c>
      <c r="I11" s="3" t="s">
        <v>98</v>
      </c>
      <c r="J11" s="3" t="s">
        <v>432</v>
      </c>
      <c r="K11" s="3" t="s">
        <v>99</v>
      </c>
      <c r="L11" s="4" t="str">
        <f>VLOOKUP(Table1[[#This Row],[Importance]],'Logic and Calculation'!$H$3:$J$12,3,FALSE)</f>
        <v>Medium</v>
      </c>
      <c r="M11" s="4">
        <v>6</v>
      </c>
      <c r="N11" s="4">
        <f>VLOOKUP(Table1[[#This Row],[Importance]],'Logic and Calculation'!$H$3:$J$12,2,FALSE)</f>
        <v>-9</v>
      </c>
      <c r="O11" s="15"/>
    </row>
    <row r="12" spans="1:15" ht="48" customHeight="1" x14ac:dyDescent="0.3">
      <c r="A12" s="20" t="s">
        <v>100</v>
      </c>
      <c r="B12" s="4" t="s">
        <v>84</v>
      </c>
      <c r="C12" s="4" t="s">
        <v>102</v>
      </c>
      <c r="D12" s="18" t="s">
        <v>22</v>
      </c>
      <c r="E12" s="3" t="s">
        <v>103</v>
      </c>
      <c r="F12" s="3" t="s">
        <v>104</v>
      </c>
      <c r="G12" s="3" t="s">
        <v>105</v>
      </c>
      <c r="H12" s="3" t="s">
        <v>106</v>
      </c>
      <c r="I12" s="3" t="s">
        <v>107</v>
      </c>
      <c r="J12" s="3" t="s">
        <v>433</v>
      </c>
      <c r="K12" s="3" t="s">
        <v>108</v>
      </c>
      <c r="L12" s="4" t="str">
        <f>VLOOKUP(Table1[[#This Row],[Importance]],'Logic and Calculation'!$H$3:$J$12,3,FALSE)</f>
        <v>Low</v>
      </c>
      <c r="M12" s="4">
        <v>4</v>
      </c>
      <c r="N12" s="4">
        <f>VLOOKUP(Table1[[#This Row],[Importance]],'Logic and Calculation'!$H$3:$J$12,2,FALSE)</f>
        <v>-5</v>
      </c>
      <c r="O12" s="15"/>
    </row>
    <row r="13" spans="1:15" ht="24" customHeight="1" x14ac:dyDescent="0.3">
      <c r="A13" s="20" t="s">
        <v>100</v>
      </c>
      <c r="B13" s="4" t="s">
        <v>92</v>
      </c>
      <c r="C13" s="4" t="s">
        <v>110</v>
      </c>
      <c r="D13" s="18" t="s">
        <v>22</v>
      </c>
      <c r="E13" s="3" t="s">
        <v>111</v>
      </c>
      <c r="F13" s="3" t="s">
        <v>112</v>
      </c>
      <c r="G13" s="3" t="s">
        <v>113</v>
      </c>
      <c r="H13" s="3" t="s">
        <v>114</v>
      </c>
      <c r="I13" s="3" t="s">
        <v>115</v>
      </c>
      <c r="J13" s="3" t="s">
        <v>434</v>
      </c>
      <c r="K13" s="3" t="s">
        <v>116</v>
      </c>
      <c r="L13" s="4" t="str">
        <f>VLOOKUP(Table1[[#This Row],[Importance]],'Logic and Calculation'!$H$3:$J$12,3,FALSE)</f>
        <v>High</v>
      </c>
      <c r="M13" s="4">
        <v>8</v>
      </c>
      <c r="N13" s="4">
        <f>VLOOKUP(Table1[[#This Row],[Importance]],'Logic and Calculation'!$H$3:$J$12,2,FALSE)</f>
        <v>-13</v>
      </c>
      <c r="O13" s="15"/>
    </row>
    <row r="14" spans="1:15" ht="24" customHeight="1" x14ac:dyDescent="0.3">
      <c r="A14" s="20" t="s">
        <v>100</v>
      </c>
      <c r="B14" s="4" t="s">
        <v>101</v>
      </c>
      <c r="C14" s="4" t="s">
        <v>118</v>
      </c>
      <c r="D14" s="18" t="s">
        <v>22</v>
      </c>
      <c r="E14" s="3" t="s">
        <v>119</v>
      </c>
      <c r="F14" s="3" t="s">
        <v>120</v>
      </c>
      <c r="G14" s="3" t="s">
        <v>121</v>
      </c>
      <c r="H14" s="3" t="s">
        <v>122</v>
      </c>
      <c r="I14" s="3" t="s">
        <v>123</v>
      </c>
      <c r="J14" s="3" t="s">
        <v>435</v>
      </c>
      <c r="K14" s="3" t="s">
        <v>116</v>
      </c>
      <c r="L14" s="4" t="str">
        <f>VLOOKUP(Table1[[#This Row],[Importance]],'Logic and Calculation'!$H$3:$J$12,3,FALSE)</f>
        <v>Low</v>
      </c>
      <c r="M14" s="4">
        <v>4</v>
      </c>
      <c r="N14" s="4">
        <f>VLOOKUP(Table1[[#This Row],[Importance]],'Logic and Calculation'!$H$3:$J$12,2,FALSE)</f>
        <v>-5</v>
      </c>
      <c r="O14" s="15"/>
    </row>
    <row r="15" spans="1:15" ht="24" customHeight="1" x14ac:dyDescent="0.3">
      <c r="A15" s="20" t="s">
        <v>124</v>
      </c>
      <c r="B15" s="4" t="s">
        <v>109</v>
      </c>
      <c r="C15" s="4" t="s">
        <v>382</v>
      </c>
      <c r="D15" s="18" t="s">
        <v>22</v>
      </c>
      <c r="E15" s="3" t="s">
        <v>126</v>
      </c>
      <c r="F15" s="3" t="s">
        <v>127</v>
      </c>
      <c r="G15" s="3" t="s">
        <v>128</v>
      </c>
      <c r="H15" s="3" t="s">
        <v>129</v>
      </c>
      <c r="I15" s="3" t="s">
        <v>130</v>
      </c>
      <c r="J15" s="3"/>
      <c r="K15" s="3" t="s">
        <v>131</v>
      </c>
      <c r="L15" s="4" t="str">
        <f>VLOOKUP(Table1[[#This Row],[Importance]],'Logic and Calculation'!$H$3:$J$12,3,FALSE)</f>
        <v>Medium</v>
      </c>
      <c r="M15" s="4">
        <v>7</v>
      </c>
      <c r="N15" s="4">
        <f>VLOOKUP(Table1[[#This Row],[Importance]],'Logic and Calculation'!$H$3:$J$12,2,FALSE)</f>
        <v>-11</v>
      </c>
      <c r="O15" s="15"/>
    </row>
    <row r="16" spans="1:15" ht="24" customHeight="1" x14ac:dyDescent="0.3">
      <c r="A16" s="20" t="s">
        <v>124</v>
      </c>
      <c r="B16" s="4" t="s">
        <v>117</v>
      </c>
      <c r="C16" s="4" t="s">
        <v>133</v>
      </c>
      <c r="D16" s="18" t="s">
        <v>22</v>
      </c>
      <c r="E16" s="3" t="s">
        <v>134</v>
      </c>
      <c r="F16" s="3" t="s">
        <v>135</v>
      </c>
      <c r="G16" s="3" t="s">
        <v>136</v>
      </c>
      <c r="H16" s="3" t="s">
        <v>137</v>
      </c>
      <c r="I16" s="3" t="s">
        <v>138</v>
      </c>
      <c r="J16" s="3"/>
      <c r="K16" s="3" t="s">
        <v>139</v>
      </c>
      <c r="L16" s="4" t="str">
        <f>VLOOKUP(Table1[[#This Row],[Importance]],'Logic and Calculation'!$H$3:$J$12,3,FALSE)</f>
        <v>Low</v>
      </c>
      <c r="M16" s="4">
        <v>3</v>
      </c>
      <c r="N16" s="4">
        <f>VLOOKUP(Table1[[#This Row],[Importance]],'Logic and Calculation'!$H$3:$J$12,2,FALSE)</f>
        <v>-3</v>
      </c>
      <c r="O16" s="15"/>
    </row>
    <row r="17" spans="1:15" ht="36" customHeight="1" x14ac:dyDescent="0.3">
      <c r="A17" s="20" t="s">
        <v>124</v>
      </c>
      <c r="B17" s="4" t="s">
        <v>125</v>
      </c>
      <c r="C17" s="4" t="s">
        <v>141</v>
      </c>
      <c r="D17" s="18" t="s">
        <v>22</v>
      </c>
      <c r="E17" s="3" t="s">
        <v>142</v>
      </c>
      <c r="F17" s="3" t="s">
        <v>143</v>
      </c>
      <c r="G17" s="3" t="s">
        <v>144</v>
      </c>
      <c r="H17" s="3" t="s">
        <v>145</v>
      </c>
      <c r="I17" s="3" t="s">
        <v>146</v>
      </c>
      <c r="J17" s="3"/>
      <c r="K17" s="3" t="s">
        <v>147</v>
      </c>
      <c r="L17" s="4" t="str">
        <f>VLOOKUP(Table1[[#This Row],[Importance]],'Logic and Calculation'!$H$3:$J$12,3,FALSE)</f>
        <v>Medium</v>
      </c>
      <c r="M17" s="4">
        <v>7</v>
      </c>
      <c r="N17" s="4">
        <f>VLOOKUP(Table1[[#This Row],[Importance]],'Logic and Calculation'!$H$3:$J$12,2,FALSE)</f>
        <v>-11</v>
      </c>
      <c r="O17" s="15"/>
    </row>
    <row r="18" spans="1:15" ht="36" customHeight="1" x14ac:dyDescent="0.3">
      <c r="A18" s="20" t="s">
        <v>124</v>
      </c>
      <c r="B18" s="4" t="s">
        <v>132</v>
      </c>
      <c r="C18" s="4" t="s">
        <v>149</v>
      </c>
      <c r="D18" s="18" t="s">
        <v>22</v>
      </c>
      <c r="E18" s="3" t="s">
        <v>150</v>
      </c>
      <c r="F18" s="3" t="s">
        <v>151</v>
      </c>
      <c r="G18" s="3" t="s">
        <v>136</v>
      </c>
      <c r="H18" s="3" t="s">
        <v>152</v>
      </c>
      <c r="I18" s="3" t="s">
        <v>153</v>
      </c>
      <c r="J18" s="3"/>
      <c r="K18" s="3" t="s">
        <v>154</v>
      </c>
      <c r="L18" s="4" t="str">
        <f>VLOOKUP(Table1[[#This Row],[Importance]],'Logic and Calculation'!$H$3:$J$12,3,FALSE)</f>
        <v>Low</v>
      </c>
      <c r="M18" s="4">
        <v>3</v>
      </c>
      <c r="N18" s="4">
        <f>VLOOKUP(Table1[[#This Row],[Importance]],'Logic and Calculation'!$H$3:$J$12,2,FALSE)</f>
        <v>-3</v>
      </c>
      <c r="O18" s="15"/>
    </row>
    <row r="19" spans="1:15" ht="36" customHeight="1" thickBot="1" x14ac:dyDescent="0.35">
      <c r="A19" s="20" t="s">
        <v>19</v>
      </c>
      <c r="B19" s="4" t="s">
        <v>140</v>
      </c>
      <c r="C19" s="4" t="s">
        <v>156</v>
      </c>
      <c r="D19" s="18" t="s">
        <v>22</v>
      </c>
      <c r="E19" s="6" t="s">
        <v>365</v>
      </c>
      <c r="F19" s="6" t="s">
        <v>366</v>
      </c>
      <c r="G19" s="6" t="s">
        <v>367</v>
      </c>
      <c r="H19" s="6" t="s">
        <v>368</v>
      </c>
      <c r="I19" s="6" t="s">
        <v>342</v>
      </c>
      <c r="J19" s="6" t="s">
        <v>436</v>
      </c>
      <c r="K19" s="6" t="s">
        <v>343</v>
      </c>
      <c r="L19" s="4" t="str">
        <f>VLOOKUP(Table1[[#This Row],[Importance]],'Logic and Calculation'!$H$3:$J$12,3,FALSE)</f>
        <v>Medium</v>
      </c>
      <c r="M19" s="5">
        <v>7</v>
      </c>
      <c r="N19" s="4">
        <f>VLOOKUP(Table1[[#This Row],[Importance]],'Logic and Calculation'!$H$3:$J$12,2,FALSE)</f>
        <v>-11</v>
      </c>
      <c r="O19" s="15"/>
    </row>
    <row r="20" spans="1:15" ht="36" customHeight="1" x14ac:dyDescent="0.3">
      <c r="A20" s="20" t="s">
        <v>19</v>
      </c>
      <c r="B20" s="4" t="s">
        <v>148</v>
      </c>
      <c r="C20" s="4" t="s">
        <v>164</v>
      </c>
      <c r="D20" s="18" t="s">
        <v>22</v>
      </c>
      <c r="E20" s="3" t="s">
        <v>157</v>
      </c>
      <c r="F20" s="3" t="s">
        <v>158</v>
      </c>
      <c r="G20" s="3" t="s">
        <v>159</v>
      </c>
      <c r="H20" s="3" t="s">
        <v>160</v>
      </c>
      <c r="I20" s="3" t="s">
        <v>161</v>
      </c>
      <c r="J20" s="3"/>
      <c r="K20" s="3" t="s">
        <v>162</v>
      </c>
      <c r="L20" s="4" t="str">
        <f>VLOOKUP(Table1[[#This Row],[Importance]],'Logic and Calculation'!$H$3:$J$12,3,FALSE)</f>
        <v>Medium</v>
      </c>
      <c r="M20" s="4">
        <v>7</v>
      </c>
      <c r="N20" s="4">
        <f>VLOOKUP(Table1[[#This Row],[Importance]],'Logic and Calculation'!$H$3:$J$12,2,FALSE)</f>
        <v>-11</v>
      </c>
      <c r="O20" s="15"/>
    </row>
    <row r="21" spans="1:15" ht="36" customHeight="1" x14ac:dyDescent="0.3">
      <c r="A21" s="20" t="s">
        <v>19</v>
      </c>
      <c r="B21" s="4" t="s">
        <v>155</v>
      </c>
      <c r="C21" s="4" t="s">
        <v>171</v>
      </c>
      <c r="D21" s="18" t="s">
        <v>22</v>
      </c>
      <c r="E21" s="3" t="s">
        <v>165</v>
      </c>
      <c r="F21" s="3" t="s">
        <v>166</v>
      </c>
      <c r="G21" s="3" t="s">
        <v>167</v>
      </c>
      <c r="H21" s="3" t="s">
        <v>168</v>
      </c>
      <c r="I21" s="3" t="s">
        <v>169</v>
      </c>
      <c r="J21" s="3"/>
      <c r="K21" s="3" t="s">
        <v>162</v>
      </c>
      <c r="L21" s="4" t="str">
        <f>VLOOKUP(Table1[[#This Row],[Importance]],'Logic and Calculation'!$H$3:$J$12,3,FALSE)</f>
        <v>Medium</v>
      </c>
      <c r="M21" s="4">
        <v>5</v>
      </c>
      <c r="N21" s="4">
        <f>VLOOKUP(Table1[[#This Row],[Importance]],'Logic and Calculation'!$H$3:$J$12,2,FALSE)</f>
        <v>-7</v>
      </c>
      <c r="O21" s="15"/>
    </row>
    <row r="22" spans="1:15" ht="36" customHeight="1" x14ac:dyDescent="0.3">
      <c r="A22" s="20" t="s">
        <v>19</v>
      </c>
      <c r="B22" s="4" t="s">
        <v>163</v>
      </c>
      <c r="C22" s="4" t="s">
        <v>178</v>
      </c>
      <c r="D22" s="18" t="s">
        <v>22</v>
      </c>
      <c r="E22" s="3" t="s">
        <v>172</v>
      </c>
      <c r="F22" s="3" t="s">
        <v>173</v>
      </c>
      <c r="G22" s="3" t="s">
        <v>174</v>
      </c>
      <c r="H22" s="3" t="s">
        <v>175</v>
      </c>
      <c r="I22" s="3" t="s">
        <v>176</v>
      </c>
      <c r="J22" s="3"/>
      <c r="K22" s="3" t="s">
        <v>162</v>
      </c>
      <c r="L22" s="4" t="str">
        <f>VLOOKUP(Table1[[#This Row],[Importance]],'Logic and Calculation'!$H$3:$J$12,3,FALSE)</f>
        <v>Medium</v>
      </c>
      <c r="M22" s="4">
        <v>5</v>
      </c>
      <c r="N22" s="4">
        <f>VLOOKUP(Table1[[#This Row],[Importance]],'Logic and Calculation'!$H$3:$J$12,2,FALSE)</f>
        <v>-7</v>
      </c>
      <c r="O22" s="15"/>
    </row>
    <row r="23" spans="1:15" ht="36" customHeight="1" x14ac:dyDescent="0.3">
      <c r="A23" s="20" t="s">
        <v>19</v>
      </c>
      <c r="B23" s="4" t="s">
        <v>170</v>
      </c>
      <c r="C23" s="4" t="s">
        <v>185</v>
      </c>
      <c r="D23" s="18" t="s">
        <v>22</v>
      </c>
      <c r="E23" s="3" t="s">
        <v>179</v>
      </c>
      <c r="F23" s="3" t="s">
        <v>180</v>
      </c>
      <c r="G23" s="3" t="s">
        <v>181</v>
      </c>
      <c r="H23" s="3" t="s">
        <v>182</v>
      </c>
      <c r="I23" s="3" t="s">
        <v>183</v>
      </c>
      <c r="J23" s="9" t="s">
        <v>437</v>
      </c>
      <c r="K23" s="3" t="s">
        <v>57</v>
      </c>
      <c r="L23" s="4" t="str">
        <f>VLOOKUP(Table1[[#This Row],[Importance]],'Logic and Calculation'!$H$3:$J$12,3,FALSE)</f>
        <v>Low</v>
      </c>
      <c r="M23" s="4">
        <v>3</v>
      </c>
      <c r="N23" s="4">
        <f>VLOOKUP(Table1[[#This Row],[Importance]],'Logic and Calculation'!$H$3:$J$12,2,FALSE)</f>
        <v>-3</v>
      </c>
      <c r="O23" s="15"/>
    </row>
    <row r="24" spans="1:15" ht="36" customHeight="1" x14ac:dyDescent="0.3">
      <c r="A24" s="20" t="s">
        <v>19</v>
      </c>
      <c r="B24" s="4" t="s">
        <v>177</v>
      </c>
      <c r="C24" s="4" t="s">
        <v>189</v>
      </c>
      <c r="D24" s="18" t="s">
        <v>22</v>
      </c>
      <c r="E24" s="3" t="s">
        <v>387</v>
      </c>
      <c r="F24" s="3" t="s">
        <v>186</v>
      </c>
      <c r="G24" s="3" t="s">
        <v>388</v>
      </c>
      <c r="H24" s="3" t="s">
        <v>389</v>
      </c>
      <c r="I24" s="3" t="s">
        <v>390</v>
      </c>
      <c r="J24" s="9" t="s">
        <v>438</v>
      </c>
      <c r="K24" s="3" t="s">
        <v>187</v>
      </c>
      <c r="L24" s="4" t="str">
        <f>VLOOKUP(Table1[[#This Row],[Importance]],'Logic and Calculation'!$H$3:$J$12,3,FALSE)</f>
        <v>Medium</v>
      </c>
      <c r="M24" s="4">
        <v>7</v>
      </c>
      <c r="N24" s="4">
        <f>VLOOKUP(Table1[[#This Row],[Importance]],'Logic and Calculation'!$H$3:$J$12,2,FALSE)</f>
        <v>-11</v>
      </c>
      <c r="O24" s="15"/>
    </row>
    <row r="25" spans="1:15" ht="60" customHeight="1" x14ac:dyDescent="0.3">
      <c r="A25" s="20" t="s">
        <v>19</v>
      </c>
      <c r="B25" s="4" t="s">
        <v>184</v>
      </c>
      <c r="C25" s="4" t="s">
        <v>193</v>
      </c>
      <c r="D25" s="18" t="s">
        <v>22</v>
      </c>
      <c r="E25" s="3" t="s">
        <v>391</v>
      </c>
      <c r="F25" s="3" t="s">
        <v>190</v>
      </c>
      <c r="G25" s="3" t="s">
        <v>392</v>
      </c>
      <c r="H25" s="3" t="s">
        <v>393</v>
      </c>
      <c r="I25" s="3" t="s">
        <v>394</v>
      </c>
      <c r="J25" s="9" t="s">
        <v>438</v>
      </c>
      <c r="K25" s="3" t="s">
        <v>191</v>
      </c>
      <c r="L25" s="4" t="str">
        <f>VLOOKUP(Table1[[#This Row],[Importance]],'Logic and Calculation'!$H$3:$J$12,3,FALSE)</f>
        <v>Medium</v>
      </c>
      <c r="M25" s="4">
        <v>7</v>
      </c>
      <c r="N25" s="4">
        <f>VLOOKUP(Table1[[#This Row],[Importance]],'Logic and Calculation'!$H$3:$J$12,2,FALSE)</f>
        <v>-11</v>
      </c>
      <c r="O25" s="15"/>
    </row>
    <row r="26" spans="1:15" ht="36" customHeight="1" x14ac:dyDescent="0.3">
      <c r="A26" s="20" t="s">
        <v>19</v>
      </c>
      <c r="B26" s="4" t="s">
        <v>188</v>
      </c>
      <c r="C26" s="4" t="s">
        <v>199</v>
      </c>
      <c r="D26" s="18" t="s">
        <v>22</v>
      </c>
      <c r="E26" s="3" t="s">
        <v>194</v>
      </c>
      <c r="F26" s="3" t="s">
        <v>195</v>
      </c>
      <c r="G26" s="3" t="s">
        <v>395</v>
      </c>
      <c r="H26" s="3" t="s">
        <v>396</v>
      </c>
      <c r="I26" s="3" t="s">
        <v>196</v>
      </c>
      <c r="J26" s="9" t="s">
        <v>438</v>
      </c>
      <c r="K26" s="3" t="s">
        <v>197</v>
      </c>
      <c r="L26" s="4" t="str">
        <f>VLOOKUP(Table1[[#This Row],[Importance]],'Logic and Calculation'!$H$3:$J$12,3,FALSE)</f>
        <v>Medium</v>
      </c>
      <c r="M26" s="4">
        <v>5</v>
      </c>
      <c r="N26" s="4">
        <f>VLOOKUP(Table1[[#This Row],[Importance]],'Logic and Calculation'!$H$3:$J$12,2,FALSE)</f>
        <v>-7</v>
      </c>
      <c r="O26" s="15"/>
    </row>
    <row r="27" spans="1:15" ht="36" customHeight="1" x14ac:dyDescent="0.3">
      <c r="A27" s="20" t="s">
        <v>19</v>
      </c>
      <c r="B27" s="4" t="s">
        <v>192</v>
      </c>
      <c r="C27" s="4" t="s">
        <v>207</v>
      </c>
      <c r="D27" s="18" t="s">
        <v>22</v>
      </c>
      <c r="E27" s="3" t="s">
        <v>200</v>
      </c>
      <c r="F27" s="3" t="s">
        <v>201</v>
      </c>
      <c r="G27" s="3" t="s">
        <v>202</v>
      </c>
      <c r="H27" s="3" t="s">
        <v>203</v>
      </c>
      <c r="I27" s="3" t="s">
        <v>204</v>
      </c>
      <c r="J27" s="4" t="s">
        <v>439</v>
      </c>
      <c r="K27" s="3" t="s">
        <v>205</v>
      </c>
      <c r="L27" s="4" t="str">
        <f>VLOOKUP(Table1[[#This Row],[Importance]],'Logic and Calculation'!$H$3:$J$12,3,FALSE)</f>
        <v>Medium</v>
      </c>
      <c r="M27" s="4">
        <v>6</v>
      </c>
      <c r="N27" s="4">
        <f>VLOOKUP(Table1[[#This Row],[Importance]],'Logic and Calculation'!$H$3:$J$12,2,FALSE)</f>
        <v>-9</v>
      </c>
      <c r="O27" s="15"/>
    </row>
    <row r="28" spans="1:15" ht="36" customHeight="1" x14ac:dyDescent="0.3">
      <c r="A28" s="20" t="s">
        <v>19</v>
      </c>
      <c r="B28" s="4" t="s">
        <v>198</v>
      </c>
      <c r="C28" s="4" t="s">
        <v>214</v>
      </c>
      <c r="D28" s="18" t="s">
        <v>22</v>
      </c>
      <c r="E28" s="3" t="s">
        <v>208</v>
      </c>
      <c r="F28" s="3" t="s">
        <v>209</v>
      </c>
      <c r="G28" s="3" t="s">
        <v>202</v>
      </c>
      <c r="H28" s="3" t="s">
        <v>210</v>
      </c>
      <c r="I28" s="3" t="s">
        <v>211</v>
      </c>
      <c r="J28" s="4" t="s">
        <v>440</v>
      </c>
      <c r="K28" s="3" t="s">
        <v>212</v>
      </c>
      <c r="L28" s="4" t="str">
        <f>VLOOKUP(Table1[[#This Row],[Importance]],'Logic and Calculation'!$H$3:$J$12,3,FALSE)</f>
        <v>Medium</v>
      </c>
      <c r="M28" s="4">
        <v>6</v>
      </c>
      <c r="N28" s="4">
        <f>VLOOKUP(Table1[[#This Row],[Importance]],'Logic and Calculation'!$H$3:$J$12,2,FALSE)</f>
        <v>-9</v>
      </c>
      <c r="O28" s="15"/>
    </row>
    <row r="29" spans="1:15" ht="36" customHeight="1" x14ac:dyDescent="0.3">
      <c r="A29" s="20" t="s">
        <v>19</v>
      </c>
      <c r="B29" s="4" t="s">
        <v>206</v>
      </c>
      <c r="C29" s="4" t="s">
        <v>221</v>
      </c>
      <c r="D29" s="18" t="s">
        <v>22</v>
      </c>
      <c r="E29" s="3" t="s">
        <v>215</v>
      </c>
      <c r="F29" s="3" t="s">
        <v>216</v>
      </c>
      <c r="G29" s="3" t="s">
        <v>202</v>
      </c>
      <c r="H29" s="3" t="s">
        <v>217</v>
      </c>
      <c r="I29" s="3" t="s">
        <v>218</v>
      </c>
      <c r="J29" s="4" t="s">
        <v>441</v>
      </c>
      <c r="K29" s="3" t="s">
        <v>219</v>
      </c>
      <c r="L29" s="4" t="str">
        <f>VLOOKUP(Table1[[#This Row],[Importance]],'Logic and Calculation'!$H$3:$J$12,3,FALSE)</f>
        <v>High</v>
      </c>
      <c r="M29" s="4">
        <v>8</v>
      </c>
      <c r="N29" s="4">
        <f>VLOOKUP(Table1[[#This Row],[Importance]],'Logic and Calculation'!$H$3:$J$12,2,FALSE)</f>
        <v>-13</v>
      </c>
      <c r="O29" s="15"/>
    </row>
    <row r="30" spans="1:15" ht="24" customHeight="1" x14ac:dyDescent="0.3">
      <c r="A30" s="20" t="s">
        <v>19</v>
      </c>
      <c r="B30" s="4" t="s">
        <v>213</v>
      </c>
      <c r="C30" s="4" t="s">
        <v>229</v>
      </c>
      <c r="D30" s="18" t="s">
        <v>22</v>
      </c>
      <c r="E30" s="3" t="s">
        <v>222</v>
      </c>
      <c r="F30" s="3" t="s">
        <v>223</v>
      </c>
      <c r="G30" s="3" t="s">
        <v>224</v>
      </c>
      <c r="H30" s="3" t="s">
        <v>225</v>
      </c>
      <c r="I30" s="3" t="s">
        <v>226</v>
      </c>
      <c r="J30" s="3" t="s">
        <v>442</v>
      </c>
      <c r="K30" s="3" t="s">
        <v>227</v>
      </c>
      <c r="L30" s="4" t="str">
        <f>VLOOKUP(Table1[[#This Row],[Importance]],'Logic and Calculation'!$H$3:$J$12,3,FALSE)</f>
        <v>Low</v>
      </c>
      <c r="M30" s="4">
        <v>4</v>
      </c>
      <c r="N30" s="4">
        <f>VLOOKUP(Table1[[#This Row],[Importance]],'Logic and Calculation'!$H$3:$J$12,2,FALSE)</f>
        <v>-5</v>
      </c>
      <c r="O30" s="15"/>
    </row>
    <row r="31" spans="1:15" ht="108" customHeight="1" x14ac:dyDescent="0.3">
      <c r="A31" s="20" t="s">
        <v>19</v>
      </c>
      <c r="B31" s="4" t="s">
        <v>220</v>
      </c>
      <c r="C31" s="4" t="s">
        <v>238</v>
      </c>
      <c r="D31" s="18" t="s">
        <v>22</v>
      </c>
      <c r="E31" s="3" t="s">
        <v>321</v>
      </c>
      <c r="F31" s="3" t="s">
        <v>322</v>
      </c>
      <c r="G31" s="3" t="s">
        <v>224</v>
      </c>
      <c r="H31" s="3" t="s">
        <v>323</v>
      </c>
      <c r="I31" s="3" t="s">
        <v>324</v>
      </c>
      <c r="J31" s="4" t="s">
        <v>443</v>
      </c>
      <c r="K31" s="3" t="s">
        <v>325</v>
      </c>
      <c r="L31" s="4" t="str">
        <f>VLOOKUP(Table1[[#This Row],[Importance]],'Logic and Calculation'!$H$3:$J$12,3,FALSE)</f>
        <v>Medium</v>
      </c>
      <c r="M31" s="4">
        <v>6</v>
      </c>
      <c r="N31" s="4">
        <f>VLOOKUP(Table1[[#This Row],[Importance]],'Logic and Calculation'!$H$3:$J$12,2,FALSE)</f>
        <v>-9</v>
      </c>
      <c r="O31" s="15"/>
    </row>
    <row r="32" spans="1:15" ht="60" customHeight="1" x14ac:dyDescent="0.3">
      <c r="A32" s="20" t="s">
        <v>19</v>
      </c>
      <c r="B32" s="4" t="s">
        <v>228</v>
      </c>
      <c r="C32" s="4" t="s">
        <v>245</v>
      </c>
      <c r="D32" s="18" t="s">
        <v>22</v>
      </c>
      <c r="E32" s="3" t="s">
        <v>327</v>
      </c>
      <c r="F32" s="3" t="s">
        <v>328</v>
      </c>
      <c r="G32" s="3" t="s">
        <v>202</v>
      </c>
      <c r="H32" s="3" t="s">
        <v>329</v>
      </c>
      <c r="I32" s="3" t="s">
        <v>330</v>
      </c>
      <c r="J32" s="4" t="s">
        <v>444</v>
      </c>
      <c r="K32" s="3" t="s">
        <v>331</v>
      </c>
      <c r="L32" s="4" t="str">
        <f>VLOOKUP(Table1[[#This Row],[Importance]],'Logic and Calculation'!$H$3:$J$12,3,FALSE)</f>
        <v>Medium</v>
      </c>
      <c r="M32" s="4">
        <v>5</v>
      </c>
      <c r="N32" s="4">
        <f>VLOOKUP(Table1[[#This Row],[Importance]],'Logic and Calculation'!$H$3:$J$12,2,FALSE)</f>
        <v>-7</v>
      </c>
      <c r="O32" s="15"/>
    </row>
    <row r="33" spans="1:15" ht="48" customHeight="1" x14ac:dyDescent="0.3">
      <c r="A33" s="20" t="s">
        <v>19</v>
      </c>
      <c r="B33" s="4" t="s">
        <v>237</v>
      </c>
      <c r="C33" s="4" t="s">
        <v>253</v>
      </c>
      <c r="D33" s="18" t="s">
        <v>22</v>
      </c>
      <c r="E33" s="3" t="s">
        <v>332</v>
      </c>
      <c r="F33" s="3" t="s">
        <v>333</v>
      </c>
      <c r="G33" s="3" t="s">
        <v>202</v>
      </c>
      <c r="H33" s="3" t="s">
        <v>334</v>
      </c>
      <c r="I33" s="3" t="s">
        <v>335</v>
      </c>
      <c r="J33" s="4" t="s">
        <v>445</v>
      </c>
      <c r="K33" s="3" t="s">
        <v>336</v>
      </c>
      <c r="L33" s="4" t="str">
        <f>VLOOKUP(Table1[[#This Row],[Importance]],'Logic and Calculation'!$H$3:$J$12,3,FALSE)</f>
        <v>Low</v>
      </c>
      <c r="M33" s="4">
        <v>4</v>
      </c>
      <c r="N33" s="4">
        <f>VLOOKUP(Table1[[#This Row],[Importance]],'Logic and Calculation'!$H$3:$J$12,2,FALSE)</f>
        <v>-5</v>
      </c>
      <c r="O33" s="15"/>
    </row>
    <row r="34" spans="1:15" ht="36" customHeight="1" x14ac:dyDescent="0.3">
      <c r="A34" s="20" t="s">
        <v>19</v>
      </c>
      <c r="B34" s="4" t="s">
        <v>244</v>
      </c>
      <c r="C34" s="4" t="s">
        <v>256</v>
      </c>
      <c r="D34" s="18" t="s">
        <v>22</v>
      </c>
      <c r="E34" s="3" t="s">
        <v>337</v>
      </c>
      <c r="F34" s="3" t="s">
        <v>338</v>
      </c>
      <c r="G34" s="3" t="s">
        <v>202</v>
      </c>
      <c r="H34" s="3" t="s">
        <v>339</v>
      </c>
      <c r="I34" s="3" t="s">
        <v>340</v>
      </c>
      <c r="J34" s="4" t="s">
        <v>446</v>
      </c>
      <c r="K34" s="3" t="s">
        <v>341</v>
      </c>
      <c r="L34" s="4" t="str">
        <f>VLOOKUP(Table1[[#This Row],[Importance]],'Logic and Calculation'!$H$3:$J$12,3,FALSE)</f>
        <v>Medium</v>
      </c>
      <c r="M34" s="4">
        <v>5</v>
      </c>
      <c r="N34" s="4">
        <f>VLOOKUP(Table1[[#This Row],[Importance]],'Logic and Calculation'!$H$3:$J$12,2,FALSE)</f>
        <v>-7</v>
      </c>
      <c r="O34" s="15"/>
    </row>
    <row r="35" spans="1:15" ht="36" customHeight="1" x14ac:dyDescent="0.3">
      <c r="A35" s="20" t="s">
        <v>370</v>
      </c>
      <c r="B35" s="4" t="s">
        <v>252</v>
      </c>
      <c r="C35" s="4" t="s">
        <v>258</v>
      </c>
      <c r="D35" s="18" t="s">
        <v>22</v>
      </c>
      <c r="E35" s="3" t="s">
        <v>230</v>
      </c>
      <c r="F35" s="3" t="s">
        <v>231</v>
      </c>
      <c r="G35" s="3" t="s">
        <v>232</v>
      </c>
      <c r="H35" s="3" t="s">
        <v>233</v>
      </c>
      <c r="I35" s="3" t="s">
        <v>234</v>
      </c>
      <c r="J35" s="3"/>
      <c r="K35" s="3" t="s">
        <v>235</v>
      </c>
      <c r="L35" s="4" t="str">
        <f>VLOOKUP(Table1[[#This Row],[Importance]],'Logic and Calculation'!$H$3:$J$12,3,FALSE)</f>
        <v>High</v>
      </c>
      <c r="M35" s="4">
        <v>8</v>
      </c>
      <c r="N35" s="4">
        <f>VLOOKUP(Table1[[#This Row],[Importance]],'Logic and Calculation'!$H$3:$J$12,2,FALSE)</f>
        <v>-13</v>
      </c>
      <c r="O35" s="15"/>
    </row>
    <row r="36" spans="1:15" ht="36" customHeight="1" x14ac:dyDescent="0.3">
      <c r="A36" s="20" t="s">
        <v>236</v>
      </c>
      <c r="B36" s="4" t="s">
        <v>255</v>
      </c>
      <c r="C36" s="4" t="s">
        <v>262</v>
      </c>
      <c r="D36" s="18" t="s">
        <v>22</v>
      </c>
      <c r="E36" s="3" t="s">
        <v>380</v>
      </c>
      <c r="F36" s="3" t="s">
        <v>239</v>
      </c>
      <c r="G36" s="3" t="s">
        <v>240</v>
      </c>
      <c r="H36" s="3" t="s">
        <v>241</v>
      </c>
      <c r="I36" s="3" t="s">
        <v>242</v>
      </c>
      <c r="J36" s="3"/>
      <c r="K36" s="3" t="s">
        <v>243</v>
      </c>
      <c r="L36" s="4" t="str">
        <f>VLOOKUP(Table1[[#This Row],[Importance]],'Logic and Calculation'!$H$3:$J$12,3,FALSE)</f>
        <v>High</v>
      </c>
      <c r="M36" s="4">
        <v>9</v>
      </c>
      <c r="N36" s="4">
        <f>VLOOKUP(Table1[[#This Row],[Importance]],'Logic and Calculation'!$H$3:$J$12,2,FALSE)</f>
        <v>-15</v>
      </c>
      <c r="O36" s="15"/>
    </row>
    <row r="37" spans="1:15" ht="48" customHeight="1" x14ac:dyDescent="0.3">
      <c r="A37" s="20" t="s">
        <v>236</v>
      </c>
      <c r="B37" s="4" t="s">
        <v>257</v>
      </c>
      <c r="C37" s="4" t="s">
        <v>270</v>
      </c>
      <c r="D37" s="18" t="s">
        <v>22</v>
      </c>
      <c r="E37" s="3" t="s">
        <v>246</v>
      </c>
      <c r="F37" s="3" t="s">
        <v>247</v>
      </c>
      <c r="G37" s="3" t="s">
        <v>248</v>
      </c>
      <c r="H37" s="3" t="s">
        <v>249</v>
      </c>
      <c r="I37" s="3" t="s">
        <v>250</v>
      </c>
      <c r="J37" s="3"/>
      <c r="K37" s="3" t="s">
        <v>251</v>
      </c>
      <c r="L37" s="4" t="str">
        <f>VLOOKUP(Table1[[#This Row],[Importance]],'Logic and Calculation'!$H$3:$J$12,3,FALSE)</f>
        <v>Medium</v>
      </c>
      <c r="M37" s="4">
        <v>6</v>
      </c>
      <c r="N37" s="4">
        <f>VLOOKUP(Table1[[#This Row],[Importance]],'Logic and Calculation'!$H$3:$J$12,2,FALSE)</f>
        <v>-9</v>
      </c>
      <c r="O37" s="15"/>
    </row>
    <row r="38" spans="1:15" ht="36" customHeight="1" x14ac:dyDescent="0.3">
      <c r="A38" s="20" t="s">
        <v>236</v>
      </c>
      <c r="B38" s="4" t="s">
        <v>261</v>
      </c>
      <c r="C38" s="4" t="s">
        <v>272</v>
      </c>
      <c r="D38" s="18" t="s">
        <v>22</v>
      </c>
      <c r="E38" s="3" t="s">
        <v>397</v>
      </c>
      <c r="F38" s="3" t="s">
        <v>254</v>
      </c>
      <c r="G38" s="3" t="s">
        <v>398</v>
      </c>
      <c r="H38" s="3" t="s">
        <v>399</v>
      </c>
      <c r="I38" s="3" t="s">
        <v>400</v>
      </c>
      <c r="J38" s="3" t="s">
        <v>447</v>
      </c>
      <c r="K38" s="3" t="s">
        <v>401</v>
      </c>
      <c r="L38" s="4" t="str">
        <f>VLOOKUP(Table1[[#This Row],[Importance]],'Logic and Calculation'!$H$3:$J$12,3,FALSE)</f>
        <v>High</v>
      </c>
      <c r="M38" s="4">
        <v>8</v>
      </c>
      <c r="N38" s="4">
        <f>VLOOKUP(Table1[[#This Row],[Importance]],'Logic and Calculation'!$H$3:$J$12,2,FALSE)</f>
        <v>-13</v>
      </c>
      <c r="O38" s="15"/>
    </row>
    <row r="39" spans="1:15" ht="36" customHeight="1" x14ac:dyDescent="0.3">
      <c r="A39" s="20" t="s">
        <v>236</v>
      </c>
      <c r="B39" s="4" t="s">
        <v>269</v>
      </c>
      <c r="C39" s="4" t="s">
        <v>383</v>
      </c>
      <c r="D39" s="18" t="s">
        <v>22</v>
      </c>
      <c r="E39" s="3" t="s">
        <v>402</v>
      </c>
      <c r="F39" s="3" t="s">
        <v>403</v>
      </c>
      <c r="G39" s="3" t="s">
        <v>404</v>
      </c>
      <c r="H39" s="3" t="s">
        <v>405</v>
      </c>
      <c r="I39" s="3" t="s">
        <v>406</v>
      </c>
      <c r="J39" s="3" t="s">
        <v>456</v>
      </c>
      <c r="K39" s="3" t="s">
        <v>407</v>
      </c>
      <c r="L39" s="4" t="str">
        <f>VLOOKUP(Table1[[#This Row],[Importance]],'Logic and Calculation'!$H$3:$J$12,3,FALSE)</f>
        <v>Medium</v>
      </c>
      <c r="M39" s="4">
        <v>7</v>
      </c>
      <c r="N39" s="4">
        <f>VLOOKUP(Table1[[#This Row],[Importance]],'Logic and Calculation'!$H$3:$J$12,2,FALSE)</f>
        <v>-11</v>
      </c>
      <c r="O39" s="15"/>
    </row>
    <row r="40" spans="1:15" ht="36" customHeight="1" x14ac:dyDescent="0.3">
      <c r="A40" s="20" t="s">
        <v>236</v>
      </c>
      <c r="B40" s="4" t="s">
        <v>271</v>
      </c>
      <c r="C40" s="4" t="s">
        <v>371</v>
      </c>
      <c r="D40" s="18" t="s">
        <v>22</v>
      </c>
      <c r="E40" s="3" t="s">
        <v>408</v>
      </c>
      <c r="F40" s="3" t="s">
        <v>259</v>
      </c>
      <c r="G40" s="3" t="s">
        <v>409</v>
      </c>
      <c r="H40" s="3" t="s">
        <v>410</v>
      </c>
      <c r="I40" s="3" t="s">
        <v>411</v>
      </c>
      <c r="J40" s="3" t="s">
        <v>448</v>
      </c>
      <c r="K40" s="3" t="s">
        <v>412</v>
      </c>
      <c r="L40" s="4" t="str">
        <f>VLOOKUP(Table1[[#This Row],[Importance]],'Logic and Calculation'!$H$3:$J$12,3,FALSE)</f>
        <v>Medium</v>
      </c>
      <c r="M40" s="4">
        <v>5</v>
      </c>
      <c r="N40" s="4">
        <f>VLOOKUP(Table1[[#This Row],[Importance]],'Logic and Calculation'!$H$3:$J$12,2,FALSE)</f>
        <v>-7</v>
      </c>
      <c r="O40" s="15"/>
    </row>
    <row r="41" spans="1:15" ht="24" customHeight="1" x14ac:dyDescent="0.3">
      <c r="A41" s="20" t="s">
        <v>260</v>
      </c>
      <c r="B41" s="4" t="s">
        <v>273</v>
      </c>
      <c r="C41" s="4" t="s">
        <v>289</v>
      </c>
      <c r="D41" s="18" t="s">
        <v>22</v>
      </c>
      <c r="E41" s="3" t="s">
        <v>263</v>
      </c>
      <c r="F41" s="3" t="s">
        <v>264</v>
      </c>
      <c r="G41" s="3" t="s">
        <v>265</v>
      </c>
      <c r="H41" s="3" t="s">
        <v>266</v>
      </c>
      <c r="I41" s="3" t="s">
        <v>267</v>
      </c>
      <c r="J41" s="3" t="s">
        <v>449</v>
      </c>
      <c r="K41" s="3" t="s">
        <v>268</v>
      </c>
      <c r="L41" s="4" t="str">
        <f>VLOOKUP(Table1[[#This Row],[Importance]],'Logic and Calculation'!$H$3:$J$12,3,FALSE)</f>
        <v>Medium</v>
      </c>
      <c r="M41" s="4">
        <v>6</v>
      </c>
      <c r="N41" s="4">
        <f>VLOOKUP(Table1[[#This Row],[Importance]],'Logic and Calculation'!$H$3:$J$12,2,FALSE)</f>
        <v>-9</v>
      </c>
      <c r="O41" s="15"/>
    </row>
    <row r="42" spans="1:15" ht="36" customHeight="1" x14ac:dyDescent="0.3">
      <c r="A42" s="20" t="s">
        <v>260</v>
      </c>
      <c r="B42" s="4" t="s">
        <v>280</v>
      </c>
      <c r="C42" s="4" t="s">
        <v>384</v>
      </c>
      <c r="D42" s="18" t="s">
        <v>22</v>
      </c>
      <c r="E42" s="3" t="s">
        <v>413</v>
      </c>
      <c r="F42" s="3" t="s">
        <v>414</v>
      </c>
      <c r="G42" s="3" t="s">
        <v>415</v>
      </c>
      <c r="H42" s="3" t="s">
        <v>416</v>
      </c>
      <c r="I42" s="3" t="s">
        <v>417</v>
      </c>
      <c r="J42" s="3" t="s">
        <v>455</v>
      </c>
      <c r="K42" s="3" t="s">
        <v>418</v>
      </c>
      <c r="L42" s="4" t="str">
        <f>VLOOKUP(Table1[[#This Row],[Importance]],'Logic and Calculation'!$H$3:$J$12,3,FALSE)</f>
        <v>Medium</v>
      </c>
      <c r="M42" s="4">
        <v>6</v>
      </c>
      <c r="N42" s="4">
        <f>VLOOKUP(Table1[[#This Row],[Importance]],'Logic and Calculation'!$H$3:$J$12,2,FALSE)</f>
        <v>-9</v>
      </c>
      <c r="O42" s="15"/>
    </row>
    <row r="43" spans="1:15" ht="48" customHeight="1" x14ac:dyDescent="0.3">
      <c r="A43" s="20" t="s">
        <v>260</v>
      </c>
      <c r="B43" s="4" t="s">
        <v>288</v>
      </c>
      <c r="C43" s="4" t="s">
        <v>305</v>
      </c>
      <c r="D43" s="18" t="s">
        <v>22</v>
      </c>
      <c r="E43" s="3" t="s">
        <v>274</v>
      </c>
      <c r="F43" s="3" t="s">
        <v>275</v>
      </c>
      <c r="G43" s="3" t="s">
        <v>276</v>
      </c>
      <c r="H43" s="3" t="s">
        <v>277</v>
      </c>
      <c r="I43" s="3" t="s">
        <v>278</v>
      </c>
      <c r="J43" s="3" t="s">
        <v>454</v>
      </c>
      <c r="K43" s="3" t="s">
        <v>279</v>
      </c>
      <c r="L43" s="4" t="str">
        <f>VLOOKUP(Table1[[#This Row],[Importance]],'Logic and Calculation'!$H$3:$J$12,3,FALSE)</f>
        <v>Medium</v>
      </c>
      <c r="M43" s="4">
        <v>5</v>
      </c>
      <c r="N43" s="4">
        <f>VLOOKUP(Table1[[#This Row],[Importance]],'Logic and Calculation'!$H$3:$J$12,2,FALSE)</f>
        <v>-7</v>
      </c>
      <c r="O43" s="15"/>
    </row>
    <row r="44" spans="1:15" ht="36" customHeight="1" x14ac:dyDescent="0.3">
      <c r="A44" s="20" t="s">
        <v>260</v>
      </c>
      <c r="B44" s="4" t="s">
        <v>295</v>
      </c>
      <c r="C44" s="4" t="s">
        <v>307</v>
      </c>
      <c r="D44" s="18" t="s">
        <v>22</v>
      </c>
      <c r="E44" s="3" t="s">
        <v>281</v>
      </c>
      <c r="F44" s="3" t="s">
        <v>282</v>
      </c>
      <c r="G44" s="3" t="s">
        <v>283</v>
      </c>
      <c r="H44" s="3" t="s">
        <v>284</v>
      </c>
      <c r="I44" s="3" t="s">
        <v>285</v>
      </c>
      <c r="J44" s="3" t="s">
        <v>453</v>
      </c>
      <c r="K44" s="3" t="s">
        <v>286</v>
      </c>
      <c r="L44" s="4" t="str">
        <f>VLOOKUP(Table1[[#This Row],[Importance]],'Logic and Calculation'!$H$3:$J$12,3,FALSE)</f>
        <v>Medium</v>
      </c>
      <c r="M44" s="4">
        <v>7</v>
      </c>
      <c r="N44" s="4">
        <f>VLOOKUP(Table1[[#This Row],[Importance]],'Logic and Calculation'!$H$3:$J$12,2,FALSE)</f>
        <v>-11</v>
      </c>
      <c r="O44" s="15"/>
    </row>
    <row r="45" spans="1:15" ht="41.4" customHeight="1" x14ac:dyDescent="0.3">
      <c r="A45" s="20" t="s">
        <v>287</v>
      </c>
      <c r="B45" s="4" t="s">
        <v>299</v>
      </c>
      <c r="C45" s="4" t="s">
        <v>310</v>
      </c>
      <c r="D45" s="18" t="s">
        <v>22</v>
      </c>
      <c r="E45" s="3" t="s">
        <v>381</v>
      </c>
      <c r="F45" s="3" t="s">
        <v>290</v>
      </c>
      <c r="G45" s="3" t="s">
        <v>291</v>
      </c>
      <c r="H45" s="3" t="s">
        <v>292</v>
      </c>
      <c r="I45" s="3" t="s">
        <v>293</v>
      </c>
      <c r="J45" s="3"/>
      <c r="K45" s="3" t="s">
        <v>294</v>
      </c>
      <c r="L45" s="4" t="str">
        <f>VLOOKUP(Table1[[#This Row],[Importance]],'Logic and Calculation'!$H$3:$J$12,3,FALSE)</f>
        <v>Medium</v>
      </c>
      <c r="M45" s="4">
        <v>7</v>
      </c>
      <c r="N45" s="4">
        <f>VLOOKUP(Table1[[#This Row],[Importance]],'Logic and Calculation'!$H$3:$J$12,2,FALSE)</f>
        <v>-11</v>
      </c>
      <c r="O45" s="15"/>
    </row>
    <row r="46" spans="1:15" ht="48" customHeight="1" x14ac:dyDescent="0.3">
      <c r="A46" s="20" t="s">
        <v>287</v>
      </c>
      <c r="B46" s="4" t="s">
        <v>304</v>
      </c>
      <c r="C46" s="4" t="s">
        <v>318</v>
      </c>
      <c r="D46" s="18" t="s">
        <v>22</v>
      </c>
      <c r="E46" s="3" t="s">
        <v>419</v>
      </c>
      <c r="F46" s="3" t="s">
        <v>296</v>
      </c>
      <c r="G46" s="3" t="s">
        <v>420</v>
      </c>
      <c r="H46" s="3" t="s">
        <v>421</v>
      </c>
      <c r="I46" s="3" t="s">
        <v>297</v>
      </c>
      <c r="J46" s="3" t="s">
        <v>452</v>
      </c>
      <c r="K46" s="3" t="s">
        <v>298</v>
      </c>
      <c r="L46" s="4" t="str">
        <f>VLOOKUP(Table1[[#This Row],[Importance]],'Logic and Calculation'!$H$3:$J$12,3,FALSE)</f>
        <v>Medium</v>
      </c>
      <c r="M46" s="4">
        <v>6</v>
      </c>
      <c r="N46" s="4">
        <f>VLOOKUP(Table1[[#This Row],[Importance]],'Logic and Calculation'!$H$3:$J$12,2,FALSE)</f>
        <v>-9</v>
      </c>
      <c r="O46" s="15"/>
    </row>
    <row r="47" spans="1:15" ht="24" customHeight="1" x14ac:dyDescent="0.3">
      <c r="A47" s="20" t="s">
        <v>287</v>
      </c>
      <c r="B47" s="4" t="s">
        <v>306</v>
      </c>
      <c r="C47" s="4" t="s">
        <v>319</v>
      </c>
      <c r="D47" s="18" t="s">
        <v>22</v>
      </c>
      <c r="E47" s="3" t="s">
        <v>300</v>
      </c>
      <c r="F47" s="3" t="s">
        <v>301</v>
      </c>
      <c r="G47" s="3" t="s">
        <v>276</v>
      </c>
      <c r="H47" s="3" t="s">
        <v>302</v>
      </c>
      <c r="I47" s="3" t="s">
        <v>303</v>
      </c>
      <c r="J47" s="3" t="s">
        <v>452</v>
      </c>
      <c r="K47" s="3" t="s">
        <v>298</v>
      </c>
      <c r="L47" s="4" t="str">
        <f>VLOOKUP(Table1[[#This Row],[Importance]],'Logic and Calculation'!$H$3:$J$12,3,FALSE)</f>
        <v>Medium</v>
      </c>
      <c r="M47" s="4">
        <v>6</v>
      </c>
      <c r="N47" s="4">
        <f>VLOOKUP(Table1[[#This Row],[Importance]],'Logic and Calculation'!$H$3:$J$12,2,FALSE)</f>
        <v>-9</v>
      </c>
      <c r="O47" s="15"/>
    </row>
    <row r="48" spans="1:15" ht="36" customHeight="1" x14ac:dyDescent="0.3">
      <c r="A48" s="20" t="s">
        <v>19</v>
      </c>
      <c r="B48" s="4" t="s">
        <v>309</v>
      </c>
      <c r="C48" s="4" t="s">
        <v>320</v>
      </c>
      <c r="D48" s="18" t="s">
        <v>22</v>
      </c>
      <c r="E48" s="3" t="s">
        <v>422</v>
      </c>
      <c r="F48" s="3" t="s">
        <v>308</v>
      </c>
      <c r="G48" s="3" t="s">
        <v>423</v>
      </c>
      <c r="H48" s="3" t="s">
        <v>424</v>
      </c>
      <c r="I48" s="3" t="s">
        <v>425</v>
      </c>
      <c r="J48" s="3" t="s">
        <v>450</v>
      </c>
      <c r="K48" s="3" t="s">
        <v>426</v>
      </c>
      <c r="L48" s="4" t="str">
        <f>VLOOKUP(Table1[[#This Row],[Importance]],'Logic and Calculation'!$H$3:$J$12,3,FALSE)</f>
        <v>Critical</v>
      </c>
      <c r="M48" s="4">
        <v>10</v>
      </c>
      <c r="N48" s="4">
        <f>VLOOKUP(Table1[[#This Row],[Importance]],'Logic and Calculation'!$H$3:$J$12,2,FALSE)</f>
        <v>-18</v>
      </c>
      <c r="O48" s="15"/>
    </row>
    <row r="49" spans="1:15" ht="36" customHeight="1" x14ac:dyDescent="0.3">
      <c r="A49" s="20" t="s">
        <v>19</v>
      </c>
      <c r="B49" s="4" t="s">
        <v>317</v>
      </c>
      <c r="C49" s="4" t="s">
        <v>326</v>
      </c>
      <c r="D49" s="18" t="s">
        <v>22</v>
      </c>
      <c r="E49" s="3" t="s">
        <v>311</v>
      </c>
      <c r="F49" s="3" t="s">
        <v>312</v>
      </c>
      <c r="G49" s="3" t="s">
        <v>313</v>
      </c>
      <c r="H49" s="3" t="s">
        <v>314</v>
      </c>
      <c r="I49" s="3" t="s">
        <v>315</v>
      </c>
      <c r="J49" s="3" t="s">
        <v>451</v>
      </c>
      <c r="K49" s="3" t="s">
        <v>316</v>
      </c>
      <c r="L49" s="4" t="str">
        <f>VLOOKUP(Table1[[#This Row],[Importance]],'Logic and Calculation'!$H$3:$J$12,3,FALSE)</f>
        <v>High</v>
      </c>
      <c r="M49" s="4">
        <v>8</v>
      </c>
      <c r="N49" s="4">
        <f>VLOOKUP(Table1[[#This Row],[Importance]],'Logic and Calculation'!$H$3:$J$12,2,FALSE)</f>
        <v>-13</v>
      </c>
      <c r="O49" s="15"/>
    </row>
  </sheetData>
  <phoneticPr fontId="10" type="noConversion"/>
  <conditionalFormatting sqref="D2:D49">
    <cfRule type="cellIs" dxfId="2" priority="4" stopIfTrue="1" operator="equal">
      <formula>"OK"</formula>
    </cfRule>
    <cfRule type="cellIs" dxfId="1" priority="5" stopIfTrue="1" operator="equal">
      <formula>"PARTIAL"</formula>
    </cfRule>
    <cfRule type="cellIs" dxfId="0" priority="6" stopIfTrue="1" operator="equal">
      <formula>"FLAG"</formula>
    </cfRule>
  </conditionalFormatting>
  <dataValidations count="1">
    <dataValidation type="list" allowBlank="1" sqref="D2:D49" xr:uid="{00000000-0002-0000-0100-000000000000}">
      <formula1>"OK,PARTIAL,FLAG"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55"/>
  <sheetViews>
    <sheetView workbookViewId="0">
      <pane ySplit="7" topLeftCell="A8" activePane="bottomLeft" state="frozen"/>
      <selection pane="bottomLeft" activeCell="I23" sqref="I23"/>
    </sheetView>
  </sheetViews>
  <sheetFormatPr defaultRowHeight="14.4" x14ac:dyDescent="0.3"/>
  <cols>
    <col min="1" max="1" width="12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15.88671875" customWidth="1"/>
  </cols>
  <sheetData>
    <row r="1" spans="1:13" x14ac:dyDescent="0.3">
      <c r="A1" s="2" t="s">
        <v>4</v>
      </c>
      <c r="B1" s="2" t="s">
        <v>10</v>
      </c>
      <c r="C1" s="2" t="s">
        <v>5</v>
      </c>
      <c r="D1" s="2" t="s">
        <v>11</v>
      </c>
      <c r="E1" s="2" t="s">
        <v>17</v>
      </c>
      <c r="F1" s="2" t="s">
        <v>344</v>
      </c>
    </row>
    <row r="2" spans="1:13" x14ac:dyDescent="0.3">
      <c r="A2" t="s">
        <v>345</v>
      </c>
      <c r="B2">
        <v>100</v>
      </c>
      <c r="D2" t="s">
        <v>346</v>
      </c>
      <c r="H2" s="12" t="s">
        <v>16</v>
      </c>
      <c r="I2" s="12" t="s">
        <v>347</v>
      </c>
      <c r="J2" s="12" t="s">
        <v>348</v>
      </c>
      <c r="L2" s="28" t="s">
        <v>1</v>
      </c>
      <c r="M2" s="28" t="s">
        <v>349</v>
      </c>
    </row>
    <row r="3" spans="1:13" x14ac:dyDescent="0.3">
      <c r="A3" t="s">
        <v>350</v>
      </c>
      <c r="B3">
        <f>SUM(F8:F993)</f>
        <v>0</v>
      </c>
      <c r="D3" t="s">
        <v>377</v>
      </c>
      <c r="H3">
        <v>10</v>
      </c>
      <c r="I3">
        <v>-18</v>
      </c>
      <c r="J3" t="s">
        <v>351</v>
      </c>
      <c r="L3" t="s">
        <v>369</v>
      </c>
      <c r="M3" t="s">
        <v>352</v>
      </c>
    </row>
    <row r="4" spans="1:13" x14ac:dyDescent="0.3">
      <c r="A4" t="s">
        <v>353</v>
      </c>
      <c r="B4">
        <f>B2+B3</f>
        <v>100</v>
      </c>
      <c r="D4" t="s">
        <v>354</v>
      </c>
      <c r="H4">
        <v>9</v>
      </c>
      <c r="I4">
        <v>-15</v>
      </c>
      <c r="J4" t="s">
        <v>355</v>
      </c>
      <c r="L4" t="s">
        <v>356</v>
      </c>
      <c r="M4" t="s">
        <v>357</v>
      </c>
    </row>
    <row r="5" spans="1:13" x14ac:dyDescent="0.3">
      <c r="A5" t="s">
        <v>1</v>
      </c>
      <c r="B5" t="str">
        <f>IF(B4&gt;=75,"Is Compliant",IF(AND(B4&lt;=74,B4&gt;=40),"Need Improvement","Non-Compliant"))</f>
        <v>Is Compliant</v>
      </c>
      <c r="D5" t="s">
        <v>358</v>
      </c>
      <c r="H5">
        <v>8</v>
      </c>
      <c r="I5">
        <v>-13</v>
      </c>
      <c r="J5" t="s">
        <v>355</v>
      </c>
      <c r="L5" t="s">
        <v>359</v>
      </c>
      <c r="M5" t="s">
        <v>360</v>
      </c>
    </row>
    <row r="6" spans="1:13" x14ac:dyDescent="0.3">
      <c r="A6" t="s">
        <v>361</v>
      </c>
      <c r="B6" t="s">
        <v>362</v>
      </c>
      <c r="H6">
        <v>7</v>
      </c>
      <c r="I6">
        <v>-11</v>
      </c>
      <c r="J6" t="s">
        <v>29</v>
      </c>
    </row>
    <row r="7" spans="1:13" x14ac:dyDescent="0.3">
      <c r="H7">
        <v>6</v>
      </c>
      <c r="I7">
        <v>-9</v>
      </c>
      <c r="J7" t="s">
        <v>29</v>
      </c>
    </row>
    <row r="8" spans="1:13" x14ac:dyDescent="0.3">
      <c r="A8" t="str">
        <f>Framework_Reference!B2</f>
        <v>C001</v>
      </c>
      <c r="B8" t="str">
        <f>Framework_Reference!A2</f>
        <v>Account Governance</v>
      </c>
      <c r="C8" t="str">
        <f>Framework_Reference!C2</f>
        <v>ACoS Change Spacing</v>
      </c>
      <c r="D8" t="str">
        <f>Framework_Reference!D2</f>
        <v>OK</v>
      </c>
      <c r="E8">
        <f>Framework_Reference!N2</f>
        <v>-7</v>
      </c>
      <c r="F8">
        <f t="shared" ref="F8" si="0">IF(D8="FLAG",E8,IF(D8="PARTIAL",E8*0.5,0))</f>
        <v>0</v>
      </c>
      <c r="H8">
        <v>5</v>
      </c>
      <c r="I8">
        <v>-7</v>
      </c>
      <c r="J8" t="s">
        <v>29</v>
      </c>
    </row>
    <row r="9" spans="1:13" x14ac:dyDescent="0.3">
      <c r="A9" t="str">
        <f>Framework_Reference!B3</f>
        <v>C002</v>
      </c>
      <c r="B9" t="str">
        <f>Framework_Reference!A3</f>
        <v>Account Governance</v>
      </c>
      <c r="C9" t="str">
        <f>Framework_Reference!C3</f>
        <v>ACoS Change Volume</v>
      </c>
      <c r="D9" t="str">
        <f>Framework_Reference!D3</f>
        <v>OK</v>
      </c>
      <c r="E9">
        <f>Framework_Reference!N3</f>
        <v>-7</v>
      </c>
      <c r="F9">
        <f t="shared" ref="F9:F55" si="1">IF(D9="FLAG",E9,IF(D9="PARTIAL",E9*0.5,0))</f>
        <v>0</v>
      </c>
      <c r="H9">
        <v>4</v>
      </c>
      <c r="I9">
        <v>-5</v>
      </c>
      <c r="J9" t="s">
        <v>363</v>
      </c>
    </row>
    <row r="10" spans="1:13" x14ac:dyDescent="0.3">
      <c r="A10" t="str">
        <f>Framework_Reference!B4</f>
        <v>C003</v>
      </c>
      <c r="B10" t="str">
        <f>Framework_Reference!A4</f>
        <v>Account Governance</v>
      </c>
      <c r="C10" t="str">
        <f>Framework_Reference!C4</f>
        <v>ACoS Change Magnitude</v>
      </c>
      <c r="D10" t="str">
        <f>Framework_Reference!D4</f>
        <v>OK</v>
      </c>
      <c r="E10">
        <f>Framework_Reference!N4</f>
        <v>-7</v>
      </c>
      <c r="F10">
        <f t="shared" si="1"/>
        <v>0</v>
      </c>
      <c r="H10">
        <v>3</v>
      </c>
      <c r="I10">
        <v>-3</v>
      </c>
      <c r="J10" t="s">
        <v>363</v>
      </c>
    </row>
    <row r="11" spans="1:13" x14ac:dyDescent="0.3">
      <c r="A11" t="str">
        <f>Framework_Reference!B5</f>
        <v>C004</v>
      </c>
      <c r="B11" t="str">
        <f>Framework_Reference!A5</f>
        <v>Account Governance</v>
      </c>
      <c r="C11" t="str">
        <f>Framework_Reference!C5</f>
        <v>Quartile Factor Override</v>
      </c>
      <c r="D11" t="str">
        <f>Framework_Reference!D5</f>
        <v>OK</v>
      </c>
      <c r="E11">
        <f>Framework_Reference!N5</f>
        <v>-18</v>
      </c>
      <c r="F11">
        <f t="shared" si="1"/>
        <v>0</v>
      </c>
      <c r="H11">
        <v>2</v>
      </c>
      <c r="I11">
        <v>-2</v>
      </c>
      <c r="J11" t="s">
        <v>364</v>
      </c>
    </row>
    <row r="12" spans="1:13" x14ac:dyDescent="0.3">
      <c r="A12" t="str">
        <f>Framework_Reference!B6</f>
        <v>C005</v>
      </c>
      <c r="B12" t="str">
        <f>Framework_Reference!A6</f>
        <v>Account Governance</v>
      </c>
      <c r="C12" t="str">
        <f>Framework_Reference!C6</f>
        <v>Account VAM Baseline</v>
      </c>
      <c r="D12" t="str">
        <f>Framework_Reference!D6</f>
        <v>OK</v>
      </c>
      <c r="E12">
        <f>Framework_Reference!N6</f>
        <v>-18</v>
      </c>
      <c r="F12">
        <f t="shared" si="1"/>
        <v>0</v>
      </c>
      <c r="H12">
        <v>1</v>
      </c>
      <c r="I12">
        <v>-1</v>
      </c>
      <c r="J12" t="s">
        <v>364</v>
      </c>
    </row>
    <row r="13" spans="1:13" x14ac:dyDescent="0.3">
      <c r="A13" t="str">
        <f>Framework_Reference!B7</f>
        <v>C006</v>
      </c>
      <c r="B13" t="str">
        <f>Framework_Reference!A7</f>
        <v>Account Governance</v>
      </c>
      <c r="C13" t="str">
        <f>Framework_Reference!C7</f>
        <v>Product ACoS Customization</v>
      </c>
      <c r="D13" t="str">
        <f>Framework_Reference!D7</f>
        <v>OK</v>
      </c>
      <c r="E13">
        <f>Framework_Reference!N7</f>
        <v>-11</v>
      </c>
      <c r="F13">
        <f t="shared" si="1"/>
        <v>0</v>
      </c>
    </row>
    <row r="14" spans="1:13" x14ac:dyDescent="0.3">
      <c r="A14" t="str">
        <f>Framework_Reference!B8</f>
        <v>C007</v>
      </c>
      <c r="B14" t="str">
        <f>Framework_Reference!A8</f>
        <v>Account Governance</v>
      </c>
      <c r="C14" t="str">
        <f>Framework_Reference!C8</f>
        <v>Campaign ACoS Customization</v>
      </c>
      <c r="D14" t="str">
        <f>Framework_Reference!D8</f>
        <v>OK</v>
      </c>
      <c r="E14">
        <f>Framework_Reference!N8</f>
        <v>-11</v>
      </c>
      <c r="F14">
        <f t="shared" si="1"/>
        <v>0</v>
      </c>
    </row>
    <row r="15" spans="1:13" x14ac:dyDescent="0.3">
      <c r="A15" t="str">
        <f>Framework_Reference!B9</f>
        <v>C008</v>
      </c>
      <c r="B15" t="str">
        <f>Framework_Reference!A9</f>
        <v>Account Governance</v>
      </c>
      <c r="C15" t="str">
        <f>Framework_Reference!C9</f>
        <v>Timeframe Boost</v>
      </c>
      <c r="D15" t="str">
        <f>Framework_Reference!D9</f>
        <v>OK</v>
      </c>
      <c r="E15">
        <f>Framework_Reference!N9</f>
        <v>-11</v>
      </c>
      <c r="F15">
        <f t="shared" si="1"/>
        <v>0</v>
      </c>
    </row>
    <row r="16" spans="1:13" x14ac:dyDescent="0.3">
      <c r="A16" t="str">
        <f>Framework_Reference!B10</f>
        <v>C009</v>
      </c>
      <c r="B16" t="str">
        <f>Framework_Reference!A10</f>
        <v>Account Governance</v>
      </c>
      <c r="C16" t="str">
        <f>Framework_Reference!C10</f>
        <v>Account Negatives</v>
      </c>
      <c r="D16" t="str">
        <f>Framework_Reference!D10</f>
        <v>OK</v>
      </c>
      <c r="E16">
        <f>Framework_Reference!N10</f>
        <v>-9</v>
      </c>
      <c r="F16">
        <f t="shared" si="1"/>
        <v>0</v>
      </c>
    </row>
    <row r="17" spans="1:6" x14ac:dyDescent="0.3">
      <c r="A17" t="str">
        <f>Framework_Reference!B11</f>
        <v>C010</v>
      </c>
      <c r="B17" t="str">
        <f>Framework_Reference!A11</f>
        <v>Account Governance</v>
      </c>
      <c r="C17" t="str">
        <f>Framework_Reference!C11</f>
        <v>Product Negatives</v>
      </c>
      <c r="D17" t="str">
        <f>Framework_Reference!D11</f>
        <v>OK</v>
      </c>
      <c r="E17">
        <f>Framework_Reference!N11</f>
        <v>-9</v>
      </c>
      <c r="F17">
        <f t="shared" si="1"/>
        <v>0</v>
      </c>
    </row>
    <row r="18" spans="1:6" x14ac:dyDescent="0.3">
      <c r="A18" t="str">
        <f>Framework_Reference!B12</f>
        <v>C011</v>
      </c>
      <c r="B18" t="str">
        <f>Framework_Reference!A12</f>
        <v>Data &amp; Visibility</v>
      </c>
      <c r="C18" t="str">
        <f>Framework_Reference!C12</f>
        <v>Product Tag Completeness</v>
      </c>
      <c r="D18" t="str">
        <f>Framework_Reference!D12</f>
        <v>OK</v>
      </c>
      <c r="E18">
        <f>Framework_Reference!N12</f>
        <v>-5</v>
      </c>
      <c r="F18">
        <f t="shared" si="1"/>
        <v>0</v>
      </c>
    </row>
    <row r="19" spans="1:6" x14ac:dyDescent="0.3">
      <c r="A19" t="str">
        <f>Framework_Reference!B13</f>
        <v>C012</v>
      </c>
      <c r="B19" t="str">
        <f>Framework_Reference!A13</f>
        <v>Data &amp; Visibility</v>
      </c>
      <c r="C19" t="str">
        <f>Framework_Reference!C13</f>
        <v>Branded Keywords Defined</v>
      </c>
      <c r="D19" t="str">
        <f>Framework_Reference!D13</f>
        <v>OK</v>
      </c>
      <c r="E19">
        <f>Framework_Reference!N13</f>
        <v>-13</v>
      </c>
      <c r="F19">
        <f t="shared" si="1"/>
        <v>0</v>
      </c>
    </row>
    <row r="20" spans="1:6" x14ac:dyDescent="0.3">
      <c r="A20" t="str">
        <f>Framework_Reference!B14</f>
        <v>C013</v>
      </c>
      <c r="B20" t="str">
        <f>Framework_Reference!A14</f>
        <v>Data &amp; Visibility</v>
      </c>
      <c r="C20" t="str">
        <f>Framework_Reference!C14</f>
        <v>Competitor Keywords Defined</v>
      </c>
      <c r="D20" t="str">
        <f>Framework_Reference!D14</f>
        <v>OK</v>
      </c>
      <c r="E20">
        <f>Framework_Reference!N14</f>
        <v>-5</v>
      </c>
      <c r="F20">
        <f t="shared" si="1"/>
        <v>0</v>
      </c>
    </row>
    <row r="21" spans="1:6" x14ac:dyDescent="0.3">
      <c r="A21" t="str">
        <f>Framework_Reference!B15</f>
        <v>C014</v>
      </c>
      <c r="B21" t="str">
        <f>Framework_Reference!A15</f>
        <v>Budget &amp; Structure</v>
      </c>
      <c r="C21" t="str">
        <f>Framework_Reference!C15</f>
        <v>Unmanaged ASIN</v>
      </c>
      <c r="D21" t="str">
        <f>Framework_Reference!D15</f>
        <v>OK</v>
      </c>
      <c r="E21">
        <f>Framework_Reference!N15</f>
        <v>-11</v>
      </c>
      <c r="F21">
        <f t="shared" si="1"/>
        <v>0</v>
      </c>
    </row>
    <row r="22" spans="1:6" x14ac:dyDescent="0.3">
      <c r="A22" t="str">
        <f>Framework_Reference!B16</f>
        <v>C015</v>
      </c>
      <c r="B22" t="str">
        <f>Framework_Reference!A16</f>
        <v>Budget &amp; Structure</v>
      </c>
      <c r="C22" t="str">
        <f>Framework_Reference!C16</f>
        <v>Unmanaged Product Budgets</v>
      </c>
      <c r="D22" t="str">
        <f>Framework_Reference!D16</f>
        <v>OK</v>
      </c>
      <c r="E22">
        <f>Framework_Reference!N16</f>
        <v>-3</v>
      </c>
      <c r="F22">
        <f t="shared" si="1"/>
        <v>0</v>
      </c>
    </row>
    <row r="23" spans="1:6" x14ac:dyDescent="0.3">
      <c r="A23" t="str">
        <f>Framework_Reference!B17</f>
        <v>C016</v>
      </c>
      <c r="B23" t="str">
        <f>Framework_Reference!A17</f>
        <v>Budget &amp; Structure</v>
      </c>
      <c r="C23" t="str">
        <f>Framework_Reference!C17</f>
        <v>Unmanaged Campaigns</v>
      </c>
      <c r="D23" t="str">
        <f>Framework_Reference!D17</f>
        <v>OK</v>
      </c>
      <c r="E23">
        <f>Framework_Reference!N17</f>
        <v>-11</v>
      </c>
      <c r="F23">
        <f t="shared" si="1"/>
        <v>0</v>
      </c>
    </row>
    <row r="24" spans="1:6" x14ac:dyDescent="0.3">
      <c r="A24" t="str">
        <f>Framework_Reference!B18</f>
        <v>C017</v>
      </c>
      <c r="B24" t="str">
        <f>Framework_Reference!A18</f>
        <v>Budget &amp; Structure</v>
      </c>
      <c r="C24" t="str">
        <f>Framework_Reference!C18</f>
        <v>Unmanaged Campaign Budgets</v>
      </c>
      <c r="D24" t="str">
        <f>Framework_Reference!D18</f>
        <v>OK</v>
      </c>
      <c r="E24">
        <f>Framework_Reference!N18</f>
        <v>-3</v>
      </c>
      <c r="F24">
        <f t="shared" si="1"/>
        <v>0</v>
      </c>
    </row>
    <row r="25" spans="1:6" x14ac:dyDescent="0.3">
      <c r="A25" t="str">
        <f>Framework_Reference!B19</f>
        <v>C018</v>
      </c>
      <c r="B25" t="str">
        <f>Framework_Reference!A19</f>
        <v>Account Governance</v>
      </c>
      <c r="C25" t="str">
        <f>Framework_Reference!C19</f>
        <v>ARIS Manual Recommendations</v>
      </c>
      <c r="D25" t="str">
        <f>Framework_Reference!D19</f>
        <v>OK</v>
      </c>
      <c r="E25">
        <f>Framework_Reference!N19</f>
        <v>-11</v>
      </c>
      <c r="F25">
        <f t="shared" si="1"/>
        <v>0</v>
      </c>
    </row>
    <row r="26" spans="1:6" x14ac:dyDescent="0.3">
      <c r="A26" t="str">
        <f>Framework_Reference!B20</f>
        <v>C019</v>
      </c>
      <c r="B26" t="str">
        <f>Framework_Reference!A20</f>
        <v>Account Governance</v>
      </c>
      <c r="C26" t="str">
        <f>Framework_Reference!C20</f>
        <v>Portfolio VAM Baseline</v>
      </c>
      <c r="D26" t="str">
        <f>Framework_Reference!D20</f>
        <v>OK</v>
      </c>
      <c r="E26">
        <f>Framework_Reference!N20</f>
        <v>-11</v>
      </c>
      <c r="F26">
        <f t="shared" si="1"/>
        <v>0</v>
      </c>
    </row>
    <row r="27" spans="1:6" x14ac:dyDescent="0.3">
      <c r="A27" t="str">
        <f>Framework_Reference!B21</f>
        <v>C020</v>
      </c>
      <c r="B27" t="str">
        <f>Framework_Reference!A21</f>
        <v>Account Governance</v>
      </c>
      <c r="C27" t="str">
        <f>Framework_Reference!C21</f>
        <v>Portfolio ACoS Targets</v>
      </c>
      <c r="D27" t="str">
        <f>Framework_Reference!D21</f>
        <v>OK</v>
      </c>
      <c r="E27">
        <f>Framework_Reference!N21</f>
        <v>-7</v>
      </c>
      <c r="F27">
        <f t="shared" si="1"/>
        <v>0</v>
      </c>
    </row>
    <row r="28" spans="1:6" x14ac:dyDescent="0.3">
      <c r="A28" t="str">
        <f>Framework_Reference!B22</f>
        <v>C021</v>
      </c>
      <c r="B28" t="str">
        <f>Framework_Reference!A22</f>
        <v>Account Governance</v>
      </c>
      <c r="C28" t="str">
        <f>Framework_Reference!C22</f>
        <v>Portfolio Budgets</v>
      </c>
      <c r="D28" t="str">
        <f>Framework_Reference!D22</f>
        <v>OK</v>
      </c>
      <c r="E28">
        <f>Framework_Reference!N22</f>
        <v>-7</v>
      </c>
      <c r="F28">
        <f t="shared" si="1"/>
        <v>0</v>
      </c>
    </row>
    <row r="29" spans="1:6" x14ac:dyDescent="0.3">
      <c r="A29" t="str">
        <f>Framework_Reference!B23</f>
        <v>C022</v>
      </c>
      <c r="B29" t="str">
        <f>Framework_Reference!A23</f>
        <v>Account Governance</v>
      </c>
      <c r="C29" t="str">
        <f>Framework_Reference!C23</f>
        <v>Self Service Enabled</v>
      </c>
      <c r="D29" t="str">
        <f>Framework_Reference!D23</f>
        <v>OK</v>
      </c>
      <c r="E29">
        <f>Framework_Reference!N23</f>
        <v>-3</v>
      </c>
      <c r="F29">
        <f t="shared" si="1"/>
        <v>0</v>
      </c>
    </row>
    <row r="30" spans="1:6" x14ac:dyDescent="0.3">
      <c r="A30" t="str">
        <f>Framework_Reference!B24</f>
        <v>C023</v>
      </c>
      <c r="B30" t="str">
        <f>Framework_Reference!A24</f>
        <v>Account Governance</v>
      </c>
      <c r="C30" t="str">
        <f>Framework_Reference!C24</f>
        <v>Minimum Bid</v>
      </c>
      <c r="D30" t="str">
        <f>Framework_Reference!D24</f>
        <v>OK</v>
      </c>
      <c r="E30">
        <f>Framework_Reference!N24</f>
        <v>-11</v>
      </c>
      <c r="F30">
        <f t="shared" si="1"/>
        <v>0</v>
      </c>
    </row>
    <row r="31" spans="1:6" x14ac:dyDescent="0.3">
      <c r="A31" t="str">
        <f>Framework_Reference!B25</f>
        <v>C024</v>
      </c>
      <c r="B31" t="str">
        <f>Framework_Reference!A25</f>
        <v>Account Governance</v>
      </c>
      <c r="C31" t="str">
        <f>Framework_Reference!C25</f>
        <v>Max Conversion Rate</v>
      </c>
      <c r="D31" t="str">
        <f>Framework_Reference!D25</f>
        <v>OK</v>
      </c>
      <c r="E31">
        <f>Framework_Reference!N25</f>
        <v>-11</v>
      </c>
      <c r="F31">
        <f t="shared" si="1"/>
        <v>0</v>
      </c>
    </row>
    <row r="32" spans="1:6" x14ac:dyDescent="0.3">
      <c r="A32" t="str">
        <f>Framework_Reference!B26</f>
        <v>C025</v>
      </c>
      <c r="B32" t="str">
        <f>Framework_Reference!A26</f>
        <v>Account Governance</v>
      </c>
      <c r="C32" t="str">
        <f>Framework_Reference!C26</f>
        <v>Promote/Negate Thresholds</v>
      </c>
      <c r="D32" t="str">
        <f>Framework_Reference!D26</f>
        <v>OK</v>
      </c>
      <c r="E32">
        <f>Framework_Reference!N26</f>
        <v>-7</v>
      </c>
      <c r="F32">
        <f t="shared" si="1"/>
        <v>0</v>
      </c>
    </row>
    <row r="33" spans="1:6" x14ac:dyDescent="0.3">
      <c r="A33" t="str">
        <f>Framework_Reference!B27</f>
        <v>C026</v>
      </c>
      <c r="B33" t="str">
        <f>Framework_Reference!A27</f>
        <v>Account Governance</v>
      </c>
      <c r="C33" t="str">
        <f>Framework_Reference!C27</f>
        <v>Budget Management Toggle</v>
      </c>
      <c r="D33" t="str">
        <f>Framework_Reference!D27</f>
        <v>OK</v>
      </c>
      <c r="E33">
        <f>Framework_Reference!N27</f>
        <v>-9</v>
      </c>
      <c r="F33">
        <f t="shared" si="1"/>
        <v>0</v>
      </c>
    </row>
    <row r="34" spans="1:6" x14ac:dyDescent="0.3">
      <c r="A34" t="str">
        <f>Framework_Reference!B28</f>
        <v>C027</v>
      </c>
      <c r="B34" t="str">
        <f>Framework_Reference!A28</f>
        <v>Account Governance</v>
      </c>
      <c r="C34" t="str">
        <f>Framework_Reference!C28</f>
        <v>Placement Modifier Toggle</v>
      </c>
      <c r="D34" t="str">
        <f>Framework_Reference!D28</f>
        <v>OK</v>
      </c>
      <c r="E34">
        <f>Framework_Reference!N28</f>
        <v>-9</v>
      </c>
      <c r="F34">
        <f t="shared" si="1"/>
        <v>0</v>
      </c>
    </row>
    <row r="35" spans="1:6" x14ac:dyDescent="0.3">
      <c r="A35" t="str">
        <f>Framework_Reference!B29</f>
        <v>C028</v>
      </c>
      <c r="B35" t="str">
        <f>Framework_Reference!A29</f>
        <v>Account Governance</v>
      </c>
      <c r="C35" t="str">
        <f>Framework_Reference!C29</f>
        <v>Hourly Bidding Toggle</v>
      </c>
      <c r="D35" t="str">
        <f>Framework_Reference!D29</f>
        <v>OK</v>
      </c>
      <c r="E35">
        <f>Framework_Reference!N29</f>
        <v>-13</v>
      </c>
      <c r="F35">
        <f t="shared" si="1"/>
        <v>0</v>
      </c>
    </row>
    <row r="36" spans="1:6" x14ac:dyDescent="0.3">
      <c r="A36" t="str">
        <f>Framework_Reference!B30</f>
        <v>C029</v>
      </c>
      <c r="B36" t="str">
        <f>Framework_Reference!A30</f>
        <v>Account Governance</v>
      </c>
      <c r="C36" t="str">
        <f>Framework_Reference!C30</f>
        <v>Auto Import Campaigns</v>
      </c>
      <c r="D36" t="str">
        <f>Framework_Reference!D30</f>
        <v>OK</v>
      </c>
      <c r="E36">
        <f>Framework_Reference!N30</f>
        <v>-5</v>
      </c>
      <c r="F36">
        <f t="shared" si="1"/>
        <v>0</v>
      </c>
    </row>
    <row r="37" spans="1:6" x14ac:dyDescent="0.3">
      <c r="A37" t="str">
        <f>Framework_Reference!B31</f>
        <v>C030</v>
      </c>
      <c r="B37" t="str">
        <f>Framework_Reference!A31</f>
        <v>Account Governance</v>
      </c>
      <c r="C37" t="str">
        <f>Framework_Reference!C31</f>
        <v>Stop Audience Auto-Link</v>
      </c>
      <c r="D37" t="str">
        <f>Framework_Reference!D31</f>
        <v>OK</v>
      </c>
      <c r="E37">
        <f>Framework_Reference!N31</f>
        <v>-9</v>
      </c>
      <c r="F37">
        <f t="shared" si="1"/>
        <v>0</v>
      </c>
    </row>
    <row r="38" spans="1:6" x14ac:dyDescent="0.3">
      <c r="A38" t="str">
        <f>Framework_Reference!B32</f>
        <v>C031</v>
      </c>
      <c r="B38" t="str">
        <f>Framework_Reference!A32</f>
        <v>Account Governance</v>
      </c>
      <c r="C38" t="str">
        <f>Framework_Reference!C32</f>
        <v>B2B Placement Management</v>
      </c>
      <c r="D38" t="str">
        <f>Framework_Reference!D32</f>
        <v>OK</v>
      </c>
      <c r="E38">
        <f>Framework_Reference!N32</f>
        <v>-7</v>
      </c>
      <c r="F38">
        <f t="shared" si="1"/>
        <v>0</v>
      </c>
    </row>
    <row r="39" spans="1:6" x14ac:dyDescent="0.3">
      <c r="A39" t="str">
        <f>Framework_Reference!B33</f>
        <v>C032</v>
      </c>
      <c r="B39" t="str">
        <f>Framework_Reference!A33</f>
        <v>Account Governance</v>
      </c>
      <c r="C39" t="str">
        <f>Framework_Reference!C33</f>
        <v>Has Display Promote</v>
      </c>
      <c r="D39" t="str">
        <f>Framework_Reference!D33</f>
        <v>OK</v>
      </c>
      <c r="E39">
        <f>Framework_Reference!N33</f>
        <v>-5</v>
      </c>
      <c r="F39">
        <f t="shared" si="1"/>
        <v>0</v>
      </c>
    </row>
    <row r="40" spans="1:6" x14ac:dyDescent="0.3">
      <c r="A40" t="str">
        <f>Framework_Reference!B34</f>
        <v>C033</v>
      </c>
      <c r="B40" t="str">
        <f>Framework_Reference!A34</f>
        <v>Account Governance</v>
      </c>
      <c r="C40" t="str">
        <f>Framework_Reference!C34</f>
        <v>ChangeSBV</v>
      </c>
      <c r="D40" t="str">
        <f>Framework_Reference!D34</f>
        <v>OK</v>
      </c>
      <c r="E40">
        <f>Framework_Reference!N34</f>
        <v>-7</v>
      </c>
      <c r="F40">
        <f t="shared" si="1"/>
        <v>0</v>
      </c>
    </row>
    <row r="41" spans="1:6" x14ac:dyDescent="0.3">
      <c r="A41" t="str">
        <f>Framework_Reference!B35</f>
        <v>C034</v>
      </c>
      <c r="B41" t="str">
        <f>Framework_Reference!A35</f>
        <v>RBO - Sponsored Products</v>
      </c>
      <c r="C41" t="str">
        <f>Framework_Reference!C35</f>
        <v>Rule Based Optimization (RBO)</v>
      </c>
      <c r="D41" t="str">
        <f>Framework_Reference!D35</f>
        <v>OK</v>
      </c>
      <c r="E41">
        <f>Framework_Reference!N35</f>
        <v>-13</v>
      </c>
      <c r="F41">
        <f t="shared" si="1"/>
        <v>0</v>
      </c>
    </row>
    <row r="42" spans="1:6" x14ac:dyDescent="0.3">
      <c r="A42" t="str">
        <f>Framework_Reference!B36</f>
        <v>C035</v>
      </c>
      <c r="B42" t="str">
        <f>Framework_Reference!A36</f>
        <v>Sponsored Products</v>
      </c>
      <c r="C42" t="str">
        <f>Framework_Reference!C36</f>
        <v>SPT Coverage</v>
      </c>
      <c r="D42" t="str">
        <f>Framework_Reference!D36</f>
        <v>OK</v>
      </c>
      <c r="E42">
        <f>Framework_Reference!N36</f>
        <v>-15</v>
      </c>
      <c r="F42">
        <f t="shared" si="1"/>
        <v>0</v>
      </c>
    </row>
    <row r="43" spans="1:6" x14ac:dyDescent="0.3">
      <c r="A43" t="str">
        <f>Framework_Reference!B37</f>
        <v>C036</v>
      </c>
      <c r="B43" t="str">
        <f>Framework_Reference!A37</f>
        <v>Sponsored Products</v>
      </c>
      <c r="C43" t="str">
        <f>Framework_Reference!C37</f>
        <v>CatchAll vs WATM</v>
      </c>
      <c r="D43" t="str">
        <f>Framework_Reference!D37</f>
        <v>OK</v>
      </c>
      <c r="E43">
        <f>Framework_Reference!N37</f>
        <v>-9</v>
      </c>
      <c r="F43">
        <f t="shared" si="1"/>
        <v>0</v>
      </c>
    </row>
    <row r="44" spans="1:6" x14ac:dyDescent="0.3">
      <c r="A44" t="str">
        <f>Framework_Reference!B38</f>
        <v>C037</v>
      </c>
      <c r="B44" t="str">
        <f>Framework_Reference!A38</f>
        <v>Sponsored Products</v>
      </c>
      <c r="C44" t="str">
        <f>Framework_Reference!C38</f>
        <v>ATM Coverage for Top Sellers</v>
      </c>
      <c r="D44" t="str">
        <f>Framework_Reference!D38</f>
        <v>OK</v>
      </c>
      <c r="E44">
        <f>Framework_Reference!N38</f>
        <v>-13</v>
      </c>
      <c r="F44">
        <f t="shared" si="1"/>
        <v>0</v>
      </c>
    </row>
    <row r="45" spans="1:6" x14ac:dyDescent="0.3">
      <c r="A45" t="str">
        <f>Framework_Reference!B39</f>
        <v>C038</v>
      </c>
      <c r="B45" t="str">
        <f>Framework_Reference!A39</f>
        <v>Sponsored Products</v>
      </c>
      <c r="C45" t="str">
        <f>Framework_Reference!C39</f>
        <v>ATM Catalog Coverage</v>
      </c>
      <c r="D45" t="str">
        <f>Framework_Reference!D39</f>
        <v>OK</v>
      </c>
      <c r="E45">
        <f>Framework_Reference!N39</f>
        <v>-11</v>
      </c>
      <c r="F45">
        <f t="shared" si="1"/>
        <v>0</v>
      </c>
    </row>
    <row r="46" spans="1:6" x14ac:dyDescent="0.3">
      <c r="A46" t="str">
        <f>Framework_Reference!B40</f>
        <v>C039</v>
      </c>
      <c r="B46" t="str">
        <f>Framework_Reference!A40</f>
        <v>Sponsored Products</v>
      </c>
      <c r="C46" t="str">
        <f>Framework_Reference!C40</f>
        <v>Branded vs Non-Branded Mix</v>
      </c>
      <c r="D46" t="str">
        <f>Framework_Reference!D40</f>
        <v>OK</v>
      </c>
      <c r="E46">
        <f>Framework_Reference!N40</f>
        <v>-7</v>
      </c>
      <c r="F46">
        <f t="shared" si="1"/>
        <v>0</v>
      </c>
    </row>
    <row r="47" spans="1:6" x14ac:dyDescent="0.3">
      <c r="A47" t="str">
        <f>Framework_Reference!B41</f>
        <v>C040</v>
      </c>
      <c r="B47" t="str">
        <f>Framework_Reference!A41</f>
        <v>Sponsored Brands</v>
      </c>
      <c r="C47" t="str">
        <f>Framework_Reference!C41</f>
        <v>SB Spend Share</v>
      </c>
      <c r="D47" t="str">
        <f>Framework_Reference!D41</f>
        <v>OK</v>
      </c>
      <c r="E47">
        <f>Framework_Reference!N41</f>
        <v>-9</v>
      </c>
      <c r="F47">
        <f t="shared" si="1"/>
        <v>0</v>
      </c>
    </row>
    <row r="48" spans="1:6" x14ac:dyDescent="0.3">
      <c r="A48" t="str">
        <f>Framework_Reference!B42</f>
        <v>C041</v>
      </c>
      <c r="B48" t="str">
        <f>Framework_Reference!A42</f>
        <v>Sponsored Brands</v>
      </c>
      <c r="C48" t="str">
        <f>Framework_Reference!C42</f>
        <v>SB + SBV Combined Spend Share</v>
      </c>
      <c r="D48" t="str">
        <f>Framework_Reference!D42</f>
        <v>OK</v>
      </c>
      <c r="E48">
        <f>Framework_Reference!N42</f>
        <v>-9</v>
      </c>
      <c r="F48">
        <f t="shared" si="1"/>
        <v>0</v>
      </c>
    </row>
    <row r="49" spans="1:6" x14ac:dyDescent="0.3">
      <c r="A49" t="str">
        <f>Framework_Reference!B43</f>
        <v>C042</v>
      </c>
      <c r="B49" t="str">
        <f>Framework_Reference!A43</f>
        <v>Sponsored Brands</v>
      </c>
      <c r="C49" t="str">
        <f>Framework_Reference!C43</f>
        <v>SBV Spend Share</v>
      </c>
      <c r="D49" t="str">
        <f>Framework_Reference!D43</f>
        <v>OK</v>
      </c>
      <c r="E49">
        <f>Framework_Reference!N43</f>
        <v>-7</v>
      </c>
      <c r="F49">
        <f t="shared" si="1"/>
        <v>0</v>
      </c>
    </row>
    <row r="50" spans="1:6" x14ac:dyDescent="0.3">
      <c r="A50" t="str">
        <f>Framework_Reference!B44</f>
        <v>C043</v>
      </c>
      <c r="B50" t="str">
        <f>Framework_Reference!A44</f>
        <v>Sponsored Brands</v>
      </c>
      <c r="C50" t="str">
        <f>Framework_Reference!C44</f>
        <v>SBTV Spend Share</v>
      </c>
      <c r="D50" t="str">
        <f>Framework_Reference!D44</f>
        <v>OK</v>
      </c>
      <c r="E50">
        <f>Framework_Reference!N44</f>
        <v>-11</v>
      </c>
      <c r="F50">
        <f t="shared" si="1"/>
        <v>0</v>
      </c>
    </row>
    <row r="51" spans="1:6" x14ac:dyDescent="0.3">
      <c r="A51" t="str">
        <f>Framework_Reference!B45</f>
        <v>C044</v>
      </c>
      <c r="B51" t="str">
        <f>Framework_Reference!A45</f>
        <v>Sponsored Display</v>
      </c>
      <c r="C51" t="str">
        <f>Framework_Reference!C45</f>
        <v>SD Defensive Coverage</v>
      </c>
      <c r="D51" t="str">
        <f>Framework_Reference!D45</f>
        <v>OK</v>
      </c>
      <c r="E51">
        <f>Framework_Reference!N45</f>
        <v>-11</v>
      </c>
      <c r="F51">
        <f t="shared" si="1"/>
        <v>0</v>
      </c>
    </row>
    <row r="52" spans="1:6" x14ac:dyDescent="0.3">
      <c r="A52" t="str">
        <f>Framework_Reference!B46</f>
        <v>C045</v>
      </c>
      <c r="B52" t="str">
        <f>Framework_Reference!A46</f>
        <v>Sponsored Display</v>
      </c>
      <c r="C52" t="str">
        <f>Framework_Reference!C46</f>
        <v>SD VCPM Spend Share</v>
      </c>
      <c r="D52" t="str">
        <f>Framework_Reference!D46</f>
        <v>OK</v>
      </c>
      <c r="E52">
        <f>Framework_Reference!N46</f>
        <v>-9</v>
      </c>
      <c r="F52">
        <f t="shared" si="1"/>
        <v>0</v>
      </c>
    </row>
    <row r="53" spans="1:6" x14ac:dyDescent="0.3">
      <c r="A53" t="str">
        <f>Framework_Reference!B47</f>
        <v>C046</v>
      </c>
      <c r="B53" t="str">
        <f>Framework_Reference!A47</f>
        <v>Sponsored Display</v>
      </c>
      <c r="C53" t="str">
        <f>Framework_Reference!C47</f>
        <v>SD VCPM Sales Share</v>
      </c>
      <c r="D53" t="str">
        <f>Framework_Reference!D47</f>
        <v>OK</v>
      </c>
      <c r="E53">
        <f>Framework_Reference!N47</f>
        <v>-9</v>
      </c>
      <c r="F53">
        <f t="shared" si="1"/>
        <v>0</v>
      </c>
    </row>
    <row r="54" spans="1:6" x14ac:dyDescent="0.3">
      <c r="A54" t="str">
        <f>Framework_Reference!B48</f>
        <v>C047</v>
      </c>
      <c r="B54" t="str">
        <f>Framework_Reference!A48</f>
        <v>Account Governance</v>
      </c>
      <c r="C54" t="str">
        <f>Framework_Reference!C48</f>
        <v>Out of Budget (Consecutive Days)</v>
      </c>
      <c r="D54" t="str">
        <f>Framework_Reference!D48</f>
        <v>OK</v>
      </c>
      <c r="E54">
        <f>Framework_Reference!N48</f>
        <v>-18</v>
      </c>
      <c r="F54">
        <f t="shared" si="1"/>
        <v>0</v>
      </c>
    </row>
    <row r="55" spans="1:6" x14ac:dyDescent="0.3">
      <c r="A55" t="str">
        <f>Framework_Reference!B49</f>
        <v>C048</v>
      </c>
      <c r="B55" t="str">
        <f>Framework_Reference!A49</f>
        <v>Account Governance</v>
      </c>
      <c r="C55" t="str">
        <f>Framework_Reference!C49</f>
        <v>Cleanup &amp; Relaunch Cadence</v>
      </c>
      <c r="D55" t="str">
        <f>Framework_Reference!D49</f>
        <v>OK</v>
      </c>
      <c r="E55">
        <f>Framework_Reference!N49</f>
        <v>-13</v>
      </c>
      <c r="F55">
        <f t="shared" si="1"/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Framework_Analysis</vt:lpstr>
      <vt:lpstr>Framework_Reference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2026-04-24T12:55:03Z</dcterms:modified>
</cp:coreProperties>
</file>