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FRAMEWORK/"/>
    </mc:Choice>
  </mc:AlternateContent>
  <xr:revisionPtr revIDLastSave="302" documentId="11_D7210D98AB9F6511CFA7447711E4920A3EEDBF74" xr6:coauthVersionLast="47" xr6:coauthVersionMax="47" xr10:uidLastSave="{046D34B3-284C-4C52-8105-ECFAAAD54374}"/>
  <bookViews>
    <workbookView xWindow="-28920" yWindow="-15" windowWidth="29040" windowHeight="15720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9" i="3"/>
  <c r="B9" i="3"/>
  <c r="C9" i="3"/>
  <c r="D9" i="3"/>
  <c r="F9" i="3"/>
  <c r="A10" i="3"/>
  <c r="B10" i="3"/>
  <c r="C10" i="3"/>
  <c r="D10" i="3"/>
  <c r="F10" i="3" s="1"/>
  <c r="A11" i="3"/>
  <c r="B11" i="3"/>
  <c r="C11" i="3"/>
  <c r="D11" i="3"/>
  <c r="F11" i="3"/>
  <c r="A12" i="3"/>
  <c r="B12" i="3"/>
  <c r="C12" i="3"/>
  <c r="D12" i="3"/>
  <c r="F12" i="3"/>
  <c r="A13" i="3"/>
  <c r="B13" i="3"/>
  <c r="C13" i="3"/>
  <c r="D13" i="3"/>
  <c r="F13" i="3"/>
  <c r="A14" i="3"/>
  <c r="B14" i="3"/>
  <c r="C14" i="3"/>
  <c r="D14" i="3"/>
  <c r="F14" i="3"/>
  <c r="A15" i="3"/>
  <c r="B15" i="3"/>
  <c r="C15" i="3"/>
  <c r="D15" i="3"/>
  <c r="F15" i="3"/>
  <c r="A16" i="3"/>
  <c r="B16" i="3"/>
  <c r="C16" i="3"/>
  <c r="D16" i="3"/>
  <c r="F16" i="3"/>
  <c r="A17" i="3"/>
  <c r="B17" i="3"/>
  <c r="C17" i="3"/>
  <c r="D17" i="3"/>
  <c r="F17" i="3"/>
  <c r="A18" i="3"/>
  <c r="B18" i="3"/>
  <c r="C18" i="3"/>
  <c r="D18" i="3"/>
  <c r="F18" i="3" s="1"/>
  <c r="A19" i="3"/>
  <c r="B19" i="3"/>
  <c r="C19" i="3"/>
  <c r="D19" i="3"/>
  <c r="F19" i="3"/>
  <c r="A20" i="3"/>
  <c r="B20" i="3"/>
  <c r="C20" i="3"/>
  <c r="D20" i="3"/>
  <c r="F20" i="3"/>
  <c r="A21" i="3"/>
  <c r="B21" i="3"/>
  <c r="C21" i="3"/>
  <c r="D21" i="3"/>
  <c r="F21" i="3"/>
  <c r="A22" i="3"/>
  <c r="B22" i="3"/>
  <c r="C22" i="3"/>
  <c r="D22" i="3"/>
  <c r="F22" i="3"/>
  <c r="A23" i="3"/>
  <c r="B23" i="3"/>
  <c r="C23" i="3"/>
  <c r="D23" i="3"/>
  <c r="F23" i="3" s="1"/>
  <c r="A24" i="3"/>
  <c r="B24" i="3"/>
  <c r="C24" i="3"/>
  <c r="D24" i="3"/>
  <c r="F24" i="3"/>
  <c r="A25" i="3"/>
  <c r="B25" i="3"/>
  <c r="C25" i="3"/>
  <c r="D25" i="3"/>
  <c r="F25" i="3"/>
  <c r="A26" i="3"/>
  <c r="B26" i="3"/>
  <c r="C26" i="3"/>
  <c r="D26" i="3"/>
  <c r="F26" i="3"/>
  <c r="A27" i="3"/>
  <c r="B27" i="3"/>
  <c r="C27" i="3"/>
  <c r="D27" i="3"/>
  <c r="F27" i="3"/>
  <c r="A28" i="3"/>
  <c r="B28" i="3"/>
  <c r="C28" i="3"/>
  <c r="D28" i="3"/>
  <c r="F28" i="3"/>
  <c r="A29" i="3"/>
  <c r="B29" i="3"/>
  <c r="C29" i="3"/>
  <c r="D29" i="3"/>
  <c r="F29" i="3" s="1"/>
  <c r="A30" i="3"/>
  <c r="B30" i="3"/>
  <c r="C30" i="3"/>
  <c r="D30" i="3"/>
  <c r="F30" i="3"/>
  <c r="A31" i="3"/>
  <c r="B31" i="3"/>
  <c r="C31" i="3"/>
  <c r="D31" i="3"/>
  <c r="F31" i="3"/>
  <c r="A32" i="3"/>
  <c r="B32" i="3"/>
  <c r="C32" i="3"/>
  <c r="D32" i="3"/>
  <c r="F32" i="3"/>
  <c r="A33" i="3"/>
  <c r="B33" i="3"/>
  <c r="C33" i="3"/>
  <c r="D33" i="3"/>
  <c r="F33" i="3"/>
  <c r="A34" i="3"/>
  <c r="B34" i="3"/>
  <c r="C34" i="3"/>
  <c r="D34" i="3"/>
  <c r="F34" i="3"/>
  <c r="A35" i="3"/>
  <c r="B35" i="3"/>
  <c r="C35" i="3"/>
  <c r="D35" i="3"/>
  <c r="F35" i="3" s="1"/>
  <c r="A36" i="3"/>
  <c r="B36" i="3"/>
  <c r="C36" i="3"/>
  <c r="D36" i="3"/>
  <c r="F36" i="3"/>
  <c r="A37" i="3"/>
  <c r="B37" i="3"/>
  <c r="C37" i="3"/>
  <c r="D37" i="3"/>
  <c r="F37" i="3"/>
  <c r="A38" i="3"/>
  <c r="B38" i="3"/>
  <c r="C38" i="3"/>
  <c r="D38" i="3"/>
  <c r="F38" i="3"/>
  <c r="A39" i="3"/>
  <c r="B39" i="3"/>
  <c r="C39" i="3"/>
  <c r="D39" i="3"/>
  <c r="F39" i="3" s="1"/>
  <c r="A40" i="3"/>
  <c r="B40" i="3"/>
  <c r="C40" i="3"/>
  <c r="D40" i="3"/>
  <c r="F40" i="3" s="1"/>
  <c r="A41" i="3"/>
  <c r="B41" i="3"/>
  <c r="C41" i="3"/>
  <c r="D41" i="3"/>
  <c r="F41" i="3"/>
  <c r="A42" i="3"/>
  <c r="B42" i="3"/>
  <c r="C42" i="3"/>
  <c r="D42" i="3"/>
  <c r="F42" i="3"/>
  <c r="A43" i="3"/>
  <c r="B43" i="3"/>
  <c r="C43" i="3"/>
  <c r="D43" i="3"/>
  <c r="F43" i="3" s="1"/>
  <c r="A44" i="3"/>
  <c r="B44" i="3"/>
  <c r="C44" i="3"/>
  <c r="D44" i="3"/>
  <c r="F44" i="3"/>
  <c r="A45" i="3"/>
  <c r="B45" i="3"/>
  <c r="C45" i="3"/>
  <c r="D45" i="3"/>
  <c r="F45" i="3"/>
  <c r="A46" i="3"/>
  <c r="B46" i="3"/>
  <c r="C46" i="3"/>
  <c r="D46" i="3"/>
  <c r="F46" i="3"/>
  <c r="A47" i="3"/>
  <c r="B47" i="3"/>
  <c r="C47" i="3"/>
  <c r="D47" i="3"/>
  <c r="F47" i="3"/>
  <c r="A48" i="3"/>
  <c r="B48" i="3"/>
  <c r="C48" i="3"/>
  <c r="D48" i="3"/>
  <c r="F48" i="3"/>
  <c r="A49" i="3"/>
  <c r="B49" i="3"/>
  <c r="C49" i="3"/>
  <c r="D49" i="3"/>
  <c r="F49" i="3"/>
  <c r="A50" i="3"/>
  <c r="B50" i="3"/>
  <c r="C50" i="3"/>
  <c r="D50" i="3"/>
  <c r="F50" i="3"/>
  <c r="A51" i="3"/>
  <c r="B51" i="3"/>
  <c r="C51" i="3"/>
  <c r="D51" i="3"/>
  <c r="F51" i="3"/>
  <c r="A52" i="3"/>
  <c r="B52" i="3"/>
  <c r="C52" i="3"/>
  <c r="D52" i="3"/>
  <c r="F52" i="3"/>
  <c r="A53" i="3"/>
  <c r="B53" i="3"/>
  <c r="C53" i="3"/>
  <c r="D53" i="3"/>
  <c r="F53" i="3"/>
  <c r="A54" i="3"/>
  <c r="B54" i="3"/>
  <c r="C54" i="3"/>
  <c r="D54" i="3"/>
  <c r="F54" i="3"/>
  <c r="A55" i="3"/>
  <c r="B55" i="3"/>
  <c r="C55" i="3"/>
  <c r="D55" i="3"/>
  <c r="F55" i="3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1" i="2"/>
  <c r="L42" i="2"/>
  <c r="L43" i="2"/>
  <c r="L44" i="2"/>
  <c r="L45" i="2"/>
  <c r="L46" i="2"/>
  <c r="L47" i="2"/>
  <c r="L48" i="2"/>
  <c r="L49" i="2"/>
  <c r="L40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28" i="2"/>
  <c r="E34" i="3" s="1"/>
  <c r="N29" i="2"/>
  <c r="E35" i="3" s="1"/>
  <c r="N30" i="2"/>
  <c r="E36" i="3" s="1"/>
  <c r="N31" i="2"/>
  <c r="E37" i="3" s="1"/>
  <c r="N32" i="2"/>
  <c r="E38" i="3" s="1"/>
  <c r="N33" i="2"/>
  <c r="E39" i="3" s="1"/>
  <c r="N34" i="2"/>
  <c r="E40" i="3" s="1"/>
  <c r="N35" i="2"/>
  <c r="E41" i="3" s="1"/>
  <c r="N36" i="2"/>
  <c r="E42" i="3" s="1"/>
  <c r="N37" i="2"/>
  <c r="E43" i="3" s="1"/>
  <c r="N38" i="2"/>
  <c r="E44" i="3" s="1"/>
  <c r="N39" i="2"/>
  <c r="E45" i="3" s="1"/>
  <c r="N40" i="2"/>
  <c r="E46" i="3" s="1"/>
  <c r="N41" i="2"/>
  <c r="E47" i="3" s="1"/>
  <c r="N42" i="2"/>
  <c r="E48" i="3" s="1"/>
  <c r="N43" i="2"/>
  <c r="E49" i="3" s="1"/>
  <c r="N44" i="2"/>
  <c r="E50" i="3" s="1"/>
  <c r="N45" i="2"/>
  <c r="E51" i="3" s="1"/>
  <c r="N46" i="2"/>
  <c r="E52" i="3" s="1"/>
  <c r="N47" i="2"/>
  <c r="E53" i="3" s="1"/>
  <c r="N48" i="2"/>
  <c r="E54" i="3" s="1"/>
  <c r="N49" i="2"/>
  <c r="E55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2" i="1" l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<sst xmlns="http://schemas.openxmlformats.org/spreadsheetml/2006/main" count="583" uniqueCount="456">
  <si>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</si>
  <si>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</si>
  <si>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</si>
  <si>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</si>
  <si>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</si>
  <si>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</si>
  <si>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</si>
  <si>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</si>
  <si>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</si>
  <si>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</si>
  <si>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</si>
  <si>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</si>
  <si>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</si>
  <si>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</si>
  <si>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</si>
  <si>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</si>
  <si>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</si>
  <si>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</si>
  <si>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</si>
  <si>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</si>
  <si>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</si>
  <si>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</si>
  <si>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</si>
  <si>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</si>
  <si>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</si>
  <si>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</si>
  <si>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</si>
  <si>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</si>
  <si>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</si>
  <si>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</si>
  <si>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</si>
  <si>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</si>
  <si>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</si>
  <si>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</si>
  <si>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</si>
  <si>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</si>
  <si>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</si>
  <si>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</si>
  <si>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</si>
  <si>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</si>
  <si>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</si>
  <si>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</si>
  <si>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</si>
  <si>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</si>
  <si>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</si>
  <si>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</si>
  <si>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</si>
  <si>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</si>
  <si>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</si>
  <si>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</si>
  <si>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</si>
  <si>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</si>
  <si>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</si>
  <si>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</si>
  <si>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</si>
  <si>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</si>
  <si>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</si>
  <si>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</si>
  <si>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</si>
  <si>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</si>
  <si>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</si>
  <si>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</si>
  <si>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</si>
  <si>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</si>
  <si>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</si>
  <si>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</si>
  <si>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</si>
  <si>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</si>
  <si>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</si>
  <si>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</si>
  <si>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</si>
  <si>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</si>
  <si>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</si>
  <si>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</si>
  <si>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</si>
  <si>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</si>
  <si>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</si>
  <si>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</si>
  <si>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</si>
  <si>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</si>
  <si>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</si>
  <si>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</si>
  <si>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</si>
  <si>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</si>
  <si>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</si>
  <si>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</si>
  <si>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</si>
  <si>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</si>
  <si>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</si>
  <si>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</si>
  <si>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</si>
  <si>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</si>
  <si>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</si>
  <si>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</si>
  <si>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</si>
  <si>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</si>
  <si>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</si>
  <si>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</si>
  <si>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</si>
  <si>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</si>
  <si>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</si>
  <si>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</si>
  <si>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</si>
  <si>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</si>
  <si>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</si>
  <si>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PARTIAL if &lt;25% missing; FLAG if ≥25% missing (based on used tag columns).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</si>
  <si>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</si>
  <si>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</si>
  <si>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</si>
  <si>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</si>
  <si>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</si>
  <si>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</si>
  <si>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</si>
  <si>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</si>
  <si>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</si>
  <si>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</si>
  <si>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</si>
  <si>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</si>
  <si>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</si>
  <si>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</si>
  <si>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</si>
  <si>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</si>
  <si>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</si>
  <si>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</si>
  <si>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</si>
  <si>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</si>
  <si>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</si>
  <si>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</si>
  <si>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OK if no data; FLAG if unmanaged spend &gt;20%.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</si>
  <si>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</si>
  <si>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</si>
  <si>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</si>
  <si>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</si>
  <si>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</si>
  <si>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</si>
  <si>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</si>
  <si>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</si>
  <si>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</si>
  <si>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</si>
  <si>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</si>
  <si>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</si>
  <si>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</si>
  <si>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</si>
  <si>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</si>
  <si>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OK if no data; FLAG if unmanaged spend &gt;10%.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</si>
  <si>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</si>
  <si>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</si>
  <si>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</si>
  <si>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</si>
  <si>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</si>
  <si>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</si>
  <si>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</si>
  <si>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</si>
  <si>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</si>
  <si>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</si>
  <si>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</si>
  <si>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</si>
  <si>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</si>
  <si>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</si>
  <si>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FLAG if any managed portfolio has VAM baseline.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</si>
  <si>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</si>
  <si>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</si>
  <si>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</si>
  <si>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</si>
  <si>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</si>
  <si>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</si>
  <si>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</si>
  <si>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PARTIAL if all managed portfolios have targets; FLAG if some portfolios customized (inconsistency).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</si>
  <si>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</si>
  <si>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</si>
  <si>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</si>
  <si>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</si>
  <si>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</si>
  <si>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</si>
  <si>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PARTIAL if all managed portfolios have budgets; FLAG if some budgets set inconsistently.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</si>
  <si>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</si>
  <si>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</si>
  <si>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</si>
  <si>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</si>
  <si>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</si>
  <si>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</si>
  <si>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</si>
  <si>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</si>
  <si>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</si>
  <si>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</si>
  <si>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</si>
  <si>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</si>
  <si>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</si>
  <si>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</si>
  <si>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</si>
  <si>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</si>
  <si>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</si>
  <si>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</si>
  <si>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</si>
  <si>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</si>
  <si>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</si>
  <si>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</si>
  <si>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</si>
  <si>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</si>
  <si>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</si>
  <si>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</si>
  <si>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</si>
  <si>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</si>
  <si>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</si>
  <si>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</si>
  <si>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</si>
  <si>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</si>
  <si>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</si>
  <si>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</si>
  <si>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</si>
  <si>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</si>
  <si>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</si>
  <si>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</si>
  <si>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</si>
  <si>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</si>
  <si>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</si>
  <si>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</si>
  <si>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</si>
  <si>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</si>
  <si>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</si>
  <si>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</si>
  <si>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</si>
  <si>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</si>
  <si>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</si>
  <si>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</si>
  <si>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</si>
  <si>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</si>
  <si>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</si>
  <si>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</si>
  <si>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</si>
  <si>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</si>
  <si>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</si>
  <si>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</si>
  <si>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</si>
  <si>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</si>
  <si>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</si>
  <si>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</si>
  <si>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</si>
  <si>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</si>
  <si>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</si>
  <si>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</si>
  <si>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</si>
  <si>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</si>
  <si>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</si>
  <si>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</si>
  <si>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</si>
  <si>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</si>
  <si>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</si>
  <si>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</si>
  <si>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</si>
  <si>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</si>
  <si>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</si>
  <si>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</si>
  <si>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</si>
  <si>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</si>
  <si>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</si>
  <si>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</si>
  <si>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</si>
  <si>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</si>
  <si>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</si>
  <si>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</si>
  <si>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</si>
  <si>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</si>
  <si>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</si>
  <si>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</si>
  <si>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</si>
  <si>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</si>
  <si>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</si>
  <si>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</si>
  <si>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</si>
  <si>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</si>
  <si>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</si>
  <si>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</si>
  <si>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</si>
  <si>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</si>
  <si>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</si>
  <si>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</si>
  <si>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</si>
  <si>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</si>
  <si>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</si>
  <si>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</si>
  <si>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</si>
  <si>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</si>
  <si>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FLAG if &gt;5%.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</si>
  <si>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</si>
  <si>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</si>
  <si>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</si>
  <si>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</si>
  <si>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</si>
  <si>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</si>
  <si>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</si>
  <si>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</si>
  <si>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</si>
  <si>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</si>
  <si>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</si>
  <si>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</si>
  <si>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</si>
  <si>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</si>
  <si>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</si>
  <si>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</si>
  <si>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</si>
  <si>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</si>
  <si>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</si>
  <si>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</si>
  <si>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</si>
  <si>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</si>
  <si>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</si>
  <si>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</si>
  <si>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</si>
  <si>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</si>
  <si>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</si>
  <si>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</si>
  <si>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</si>
  <si>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</si>
  <si>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</si>
  <si>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</si>
  <si>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</si>
  <si>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</si>
  <si>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</si>
  <si>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</si>
  <si>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</si>
  <si>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</si>
  <si>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</si>
  <si>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</si>
  <si>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</si>
  <si>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</si>
  <si>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</si>
  <si>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</si>
  <si>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</si>
  <si>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</si>
  <si>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</si>
  <si>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</si>
  <si>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</si>
  <si>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</si>
  <si>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</si>
  <si>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</si>
  <si>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</si>
  <si>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</si>
  <si>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</si>
  <si>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</si>
  <si>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</si>
  <si>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</si>
  <si>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</si>
  <si>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</si>
  <si>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</si>
  <si>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</si>
  <si>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</si>
  <si>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</si>
  <si>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</si>
  <si>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</si>
  <si>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</si>
  <si>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</si>
  <si>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</si>
  <si>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</si>
  <si>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</si>
  <si>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</si>
  <si>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</si>
  <si>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</si>
  <si>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</si>
  <si>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</si>
  <si>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</si>
  <si>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</si>
  <si>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</si>
  <si>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</si>
  <si>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</si>
  <si>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</si>
  <si>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</si>
  <si>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</si>
  <si>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</si>
  <si>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</si>
  <si>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</si>
  <si>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</si>
  <si>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</si>
  <si>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</si>
  <si>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</si>
  <si>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</si>
  <si>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</si>
  <si>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</si>
  <si>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</si>
  <si>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</si>
  <si>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</si>
  <si>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</si>
  <si>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</si>
  <si>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</si>
  <si>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</si>
  <si>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</si>
  <si>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</si>
  <si>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</si>
  <si>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</si>
  <si>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</si>
  <si>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</si>
  <si>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</si>
  <si>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</si>
  <si>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</si>
  <si>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</si>
  <si>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</si>
  <si>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</si>
  <si>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</si>
  <si>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FLAG if TIER 30 ASINs with &gt;1.5 orders/day have zero ATM spend.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</si>
  <si>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</si>
  <si>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</si>
  <si>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</si>
  <si>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</si>
  <si>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</si>
  <si>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FLAG if &gt;20% of ASINs have &lt;1.5 orders/day with ATM spend active; PARTIAL if 10%–20%.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</si>
  <si>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</si>
  <si>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</si>
  <si>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</si>
  <si>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</si>
  <si>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</si>
  <si>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</si>
  <si>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</si>
  <si>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</si>
  <si>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</si>
  <si>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</si>
  <si>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</si>
  <si>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</si>
  <si>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</si>
  <si>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</si>
  <si>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</si>
  <si>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</si>
  <si>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</si>
  <si>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</si>
  <si>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</si>
  <si>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</si>
  <si>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</si>
  <si>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</si>
  <si>
    <t>What You Should Do</t>
  </si>
  <si>
    <t>Stop changing the ACoS so much</t>
  </si>
  <si>
    <t xml:space="preserve">Be mindfull on the % changes of your ACoS </t>
  </si>
  <si>
    <t>Disable Quartile Factor</t>
  </si>
  <si>
    <t xml:space="preserve">Disable VAM Baseline </t>
  </si>
  <si>
    <t xml:space="preserve">Remove Negative targets that are not related to Events and Promotions </t>
  </si>
  <si>
    <t>Complete all the tags on the account - Utilize the Tag Maker on Claude or ChatGPT</t>
  </si>
  <si>
    <t xml:space="preserve">Include Brand terms on the Portal </t>
  </si>
  <si>
    <t xml:space="preserve">Include Competitor terms on the Portal </t>
  </si>
  <si>
    <t xml:space="preserve">Revisit campaigns that are not on our Framework </t>
  </si>
  <si>
    <t xml:space="preserve">Disable the Self Service on Settings </t>
  </si>
  <si>
    <t>Return to default values</t>
  </si>
  <si>
    <t>Enable Budget Management Toggle</t>
  </si>
  <si>
    <t>Enable Placement Modifier Toggle</t>
  </si>
  <si>
    <t>Enable Hourly Bidding Toggle</t>
  </si>
  <si>
    <t>Disable Auto Import Campaigns Toggle</t>
  </si>
  <si>
    <t>Disable Stop Audience Auto-Link Toggle</t>
  </si>
  <si>
    <t>Enable B2B Placement Management Toggle</t>
  </si>
  <si>
    <t>Enable Has Display Promote Toggle</t>
  </si>
  <si>
    <t>Enable ChangeSBV Toggle</t>
  </si>
  <si>
    <t>Launch ATM campaings for Best selling items</t>
  </si>
  <si>
    <t xml:space="preserve">Revisit Brand keyword coverage - Launch new BAK campaign based on Branded terms + Category </t>
  </si>
  <si>
    <t xml:space="preserve">Launch Sponsored Brand Campaigns </t>
  </si>
  <si>
    <t>Revisit level of spending on the current campaigns / Clean Up / Revisit with client Spending Allowence / ACoS target change</t>
  </si>
  <si>
    <t xml:space="preserve">Proceed with a Clean up on the account - Relaunch will depend on your Strategy </t>
  </si>
  <si>
    <t xml:space="preserve">Decrease level of spending and impressions from VCPM campaigns </t>
  </si>
  <si>
    <t xml:space="preserve">Decrease level of spending and impressions from SBTV campaigns </t>
  </si>
  <si>
    <t xml:space="preserve">Decrease level of spending and impressions from SBV campaigns </t>
  </si>
  <si>
    <t xml:space="preserve">Decrease level of spending and impressions from SB and SBV campaigns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</si>
</sst>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5" fillId="2" borderId="16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49" totalsRowShown="0" headerRowDxfId="26" dataDxfId="25" tableBorderDxfId="24">
  <autoFilter ref="A1:O49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372B1F72-8C81-497F-B421-FA45594BF45B}" name="What You Should Do" dataDxfId="14"/>
    <tableColumn id="8" xr3:uid="{00000000-0010-0000-0000-000008000000}" name="Data Source" dataDxfId="13"/>
    <tableColumn id="9" xr3:uid="{00000000-0010-0000-0000-000009000000}" name="Impact" dataDxfId="12"/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zoomScale="70" zoomScaleNormal="70" workbookViewId="0">
      <pane ySplit="8" topLeftCell="A9" activePane="bottomLeft" state="frozen"/>
      <selection pane="bottomLeft" activeCell="F16" sqref="F16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6" width="50.21875" style="30" customWidth="1"/>
    <col min="7" max="7" width="36.2187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6" t="s">
        <v>0</v>
      </c>
      <c r="B1" s="37"/>
      <c r="C1" s="37"/>
      <c r="D1" s="37"/>
      <c r="E1" s="37"/>
      <c r="F1" s="37"/>
      <c r="G1" s="37"/>
      <c r="H1" s="24"/>
    </row>
    <row r="2" spans="1:8" x14ac:dyDescent="0.3">
      <c r="A2" s="33" t="s">
        <v>376</v>
      </c>
      <c r="B2" s="24" t="s">
        <v>379</v>
      </c>
      <c r="C2" s="24"/>
      <c r="D2" s="38"/>
      <c r="E2" s="39"/>
      <c r="F2" s="39"/>
      <c r="G2" s="39"/>
      <c r="H2" s="24"/>
    </row>
    <row r="3" spans="1:8" x14ac:dyDescent="0.3">
      <c r="A3" s="32" t="s">
        <v>373</v>
      </c>
      <c r="B3" t="s">
        <v>374</v>
      </c>
      <c r="D3" s="31"/>
      <c r="E3"/>
      <c r="F3"/>
      <c r="H3" s="24"/>
    </row>
    <row r="4" spans="1:8" ht="14.4" customHeight="1" x14ac:dyDescent="0.3">
      <c r="A4" s="33" t="s">
        <v>372</v>
      </c>
      <c r="B4" s="24" t="s">
        <v>375</v>
      </c>
      <c r="C4" s="24"/>
      <c r="D4" s="38"/>
      <c r="E4" s="39"/>
      <c r="F4" s="39"/>
      <c r="G4" s="39"/>
      <c r="H4" s="24"/>
    </row>
    <row r="5" spans="1:8" ht="14.4" customHeight="1" x14ac:dyDescent="0.3">
      <c r="A5" s="33" t="s">
        <v>378</v>
      </c>
      <c r="B5" s="34">
        <v>46083.684884259259</v>
      </c>
      <c r="C5" s="24"/>
      <c r="D5" s="31"/>
      <c r="E5"/>
      <c r="F5"/>
      <c r="H5" s="24"/>
    </row>
    <row r="6" spans="1:8" x14ac:dyDescent="0.3">
      <c r="A6" s="24"/>
      <c r="B6" s="24"/>
      <c r="C6" s="24"/>
      <c r="D6" s="29"/>
      <c r="E6" s="29"/>
      <c r="F6" s="29"/>
      <c r="G6" s="24"/>
      <c r="H6" s="24"/>
    </row>
    <row r="7" spans="1:8" ht="21" customHeight="1" x14ac:dyDescent="0.3">
      <c r="A7" s="40" t="s">
        <v>1</v>
      </c>
      <c r="B7" s="39"/>
      <c r="C7" s="39"/>
      <c r="D7" s="43" t="str">
        <f>'Logic and Calculation'!B5</f>
        <v>Is Compliant</v>
      </c>
      <c r="E7" s="39"/>
      <c r="F7" s="39"/>
      <c r="G7" s="39"/>
      <c r="H7" s="24"/>
    </row>
    <row r="8" spans="1:8" ht="18" customHeight="1" x14ac:dyDescent="0.3">
      <c r="A8" s="40" t="s">
        <v>2</v>
      </c>
      <c r="B8" s="39"/>
      <c r="C8" s="39"/>
      <c r="D8" s="42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9"/>
      <c r="F8" s="39"/>
      <c r="G8" s="39"/>
      <c r="H8" s="24"/>
    </row>
    <row r="9" spans="1:8" ht="18" customHeight="1" x14ac:dyDescent="0.3">
      <c r="A9" s="24"/>
      <c r="B9" s="24"/>
      <c r="C9" s="24"/>
      <c r="D9" s="29"/>
      <c r="E9" s="29"/>
      <c r="F9" s="29"/>
      <c r="G9" s="24"/>
      <c r="H9" s="24"/>
    </row>
    <row r="10" spans="1:8" x14ac:dyDescent="0.3">
      <c r="A10" s="41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427</v>
      </c>
      <c r="G11" s="1" t="s">
        <v>9</v>
      </c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Framework_Reference!H2:H49,
  _xlpm.matter, Framework_Reference!I2:I49,
  _xlpm.wysd, Framework_Reference!J2:J49,
  _xlpm.impact, Framework_Reference!L2:L49,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7"/>
      <c r="G12" s="25"/>
      <c r="H12" s="24"/>
    </row>
    <row r="13" spans="1:8" ht="44.4" customHeight="1" x14ac:dyDescent="0.3">
      <c r="A13" s="25"/>
      <c r="B13" s="25"/>
      <c r="C13" s="23"/>
      <c r="D13" s="27"/>
      <c r="E13" s="27"/>
      <c r="F13" s="27"/>
      <c r="G13" s="25"/>
      <c r="H13" s="24"/>
    </row>
    <row r="14" spans="1:8" ht="44.4" customHeight="1" x14ac:dyDescent="0.3">
      <c r="A14" s="25"/>
      <c r="B14" s="25"/>
      <c r="C14" s="23"/>
      <c r="D14" s="27"/>
      <c r="E14" s="27"/>
      <c r="F14" s="27"/>
      <c r="G14" s="25"/>
      <c r="H14" s="24"/>
    </row>
    <row r="15" spans="1:8" ht="44.4" customHeight="1" x14ac:dyDescent="0.3">
      <c r="A15" s="25"/>
      <c r="B15" s="25"/>
      <c r="C15" s="23"/>
      <c r="D15" s="27"/>
      <c r="E15" s="27"/>
      <c r="F15" s="27"/>
      <c r="G15" s="25"/>
      <c r="H15" s="24"/>
    </row>
    <row r="16" spans="1:8" ht="44.4" customHeight="1" x14ac:dyDescent="0.3">
      <c r="A16" s="25"/>
      <c r="B16" s="25"/>
      <c r="C16" s="23"/>
      <c r="D16" s="27"/>
      <c r="E16" s="27"/>
      <c r="F16" s="27"/>
      <c r="G16" s="25"/>
      <c r="H16" s="24"/>
    </row>
    <row r="17" spans="1:8" ht="44.4" customHeight="1" x14ac:dyDescent="0.3">
      <c r="A17" s="25"/>
      <c r="B17" s="25"/>
      <c r="C17" s="23"/>
      <c r="D17" s="27"/>
      <c r="E17" s="27"/>
      <c r="F17" s="27"/>
      <c r="G17" s="25"/>
      <c r="H17" s="24"/>
    </row>
    <row r="18" spans="1:8" ht="44.4" customHeight="1" x14ac:dyDescent="0.3">
      <c r="A18" s="25"/>
      <c r="B18" s="25"/>
      <c r="C18" s="23"/>
      <c r="D18" s="27"/>
      <c r="E18" s="27"/>
      <c r="F18" s="27"/>
      <c r="G18" s="25"/>
      <c r="H18" s="24"/>
    </row>
    <row r="19" spans="1:8" ht="44.4" customHeight="1" x14ac:dyDescent="0.3">
      <c r="A19" s="25"/>
      <c r="B19" s="25"/>
      <c r="C19" s="23"/>
      <c r="D19" s="27"/>
      <c r="E19" s="27"/>
      <c r="F19" s="27"/>
      <c r="G19" s="25"/>
      <c r="H19" s="24"/>
    </row>
    <row r="20" spans="1:8" ht="44.4" customHeight="1" x14ac:dyDescent="0.3">
      <c r="A20" s="25"/>
      <c r="B20" s="25"/>
      <c r="C20" s="23"/>
      <c r="D20" s="27"/>
      <c r="E20" s="27"/>
      <c r="F20" s="27"/>
      <c r="G20" s="25"/>
      <c r="H20" s="24"/>
    </row>
    <row r="21" spans="1:8" ht="44.4" customHeight="1" x14ac:dyDescent="0.3">
      <c r="A21" s="25"/>
      <c r="B21" s="25"/>
      <c r="C21" s="23"/>
      <c r="D21" s="27"/>
      <c r="E21" s="27"/>
      <c r="F21" s="27"/>
      <c r="G21" s="25"/>
      <c r="H21" s="24"/>
    </row>
    <row r="22" spans="1:8" ht="44.4" customHeight="1" x14ac:dyDescent="0.3">
      <c r="A22" s="25"/>
      <c r="B22" s="25"/>
      <c r="C22" s="23"/>
      <c r="D22" s="27"/>
      <c r="E22" s="27"/>
      <c r="F22" s="27"/>
      <c r="G22" s="25"/>
      <c r="H22" s="24"/>
    </row>
    <row r="23" spans="1:8" ht="44.4" customHeight="1" x14ac:dyDescent="0.3">
      <c r="A23" s="25"/>
      <c r="B23" s="25"/>
      <c r="C23" s="23"/>
      <c r="D23" s="27"/>
      <c r="E23" s="27"/>
      <c r="F23" s="27"/>
      <c r="G23" s="25"/>
      <c r="H23" s="24"/>
    </row>
    <row r="24" spans="1:8" ht="44.4" customHeight="1" x14ac:dyDescent="0.3">
      <c r="A24" s="25"/>
      <c r="B24" s="25"/>
      <c r="C24" s="23"/>
      <c r="D24" s="27"/>
      <c r="E24" s="27"/>
      <c r="F24" s="27"/>
      <c r="G24" s="25"/>
      <c r="H24" s="24"/>
    </row>
    <row r="25" spans="1:8" ht="44.4" customHeight="1" x14ac:dyDescent="0.3">
      <c r="A25" s="25"/>
      <c r="B25" s="25"/>
      <c r="C25" s="23"/>
      <c r="D25" s="27"/>
      <c r="E25" s="27"/>
      <c r="F25" s="27"/>
      <c r="G25" s="25"/>
      <c r="H25" s="24"/>
    </row>
    <row r="26" spans="1:8" ht="44.4" customHeight="1" x14ac:dyDescent="0.3">
      <c r="A26" s="24"/>
      <c r="B26" s="24"/>
      <c r="C26" s="23"/>
      <c r="D26" s="29"/>
      <c r="E26" s="29"/>
      <c r="F26" s="29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9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9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9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9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49"/>
  <sheetViews>
    <sheetView tabSelected="1" topLeftCell="B1" zoomScale="85" zoomScaleNormal="85" workbookViewId="0">
      <pane ySplit="1" topLeftCell="A31" activePane="bottomLeft" state="frozen"/>
      <selection pane="bottomLeft" activeCell="J44" sqref="J44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10" width="47.88671875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35" t="s">
        <v>427</v>
      </c>
      <c r="K1" s="11" t="s">
        <v>15</v>
      </c>
      <c r="L1" s="11" t="s">
        <v>9</v>
      </c>
      <c r="M1" s="11" t="s">
        <v>16</v>
      </c>
      <c r="N1" s="11" t="s">
        <v>17</v>
      </c>
      <c r="O1" s="13" t="s">
        <v>18</v>
      </c>
    </row>
    <row r="2" spans="1:15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428</v>
      </c>
      <c r="K2" s="9" t="s">
        <v>28</v>
      </c>
      <c r="L2" s="4" t="str">
        <f>VLOOKUP(Table1[[#This Row],[Importance]],'Logic and Calculation'!$H$3:$J$12,3,FALSE)</f>
        <v>Medium</v>
      </c>
      <c r="M2" s="8">
        <v>5</v>
      </c>
      <c r="N2" s="4">
        <f>VLOOKUP(Table1[[#This Row],[Importance]],'Logic and Calculation'!$H$3:$J$12,2,FALSE)</f>
        <v>-7</v>
      </c>
      <c r="O2" s="14"/>
    </row>
    <row r="3" spans="1:15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385</v>
      </c>
      <c r="H3" s="3" t="s">
        <v>386</v>
      </c>
      <c r="I3" s="3" t="s">
        <v>34</v>
      </c>
      <c r="J3" s="9" t="s">
        <v>428</v>
      </c>
      <c r="K3" s="3" t="s">
        <v>28</v>
      </c>
      <c r="L3" s="4" t="str">
        <f>VLOOKUP(Table1[[#This Row],[Importance]],'Logic and Calculation'!$H$3:$J$12,3,FALSE)</f>
        <v>Medium</v>
      </c>
      <c r="M3" s="4">
        <v>5</v>
      </c>
      <c r="N3" s="4">
        <f>VLOOKUP(Table1[[#This Row],[Importance]],'Logic and Calculation'!$H$3:$J$12,2,FALSE)</f>
        <v>-7</v>
      </c>
      <c r="O3" s="15"/>
    </row>
    <row r="4" spans="1:15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429</v>
      </c>
      <c r="K4" s="3" t="s">
        <v>28</v>
      </c>
      <c r="L4" s="4" t="str">
        <f>VLOOKUP(Table1[[#This Row],[Importance]],'Logic and Calculation'!$H$3:$J$12,3,FALSE)</f>
        <v>Medium</v>
      </c>
      <c r="M4" s="4">
        <v>5</v>
      </c>
      <c r="N4" s="4">
        <f>VLOOKUP(Table1[[#This Row],[Importance]],'Logic and Calculation'!$H$3:$J$12,2,FALSE)</f>
        <v>-7</v>
      </c>
      <c r="O4" s="15"/>
    </row>
    <row r="5" spans="1:15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 t="s">
        <v>430</v>
      </c>
      <c r="K5" s="3" t="s">
        <v>49</v>
      </c>
      <c r="L5" s="4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-18</v>
      </c>
      <c r="O5" s="15"/>
    </row>
    <row r="6" spans="1:15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 t="s">
        <v>431</v>
      </c>
      <c r="K6" s="3" t="s">
        <v>57</v>
      </c>
      <c r="L6" s="4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-18</v>
      </c>
      <c r="O6" s="15"/>
    </row>
    <row r="7" spans="1:15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/>
      <c r="K7" s="3" t="s">
        <v>65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5"/>
    </row>
    <row r="8" spans="1:15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/>
      <c r="K8" s="3" t="s">
        <v>73</v>
      </c>
      <c r="L8" s="4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-11</v>
      </c>
      <c r="O8" s="15"/>
    </row>
    <row r="9" spans="1:15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/>
      <c r="K9" s="3" t="s">
        <v>81</v>
      </c>
      <c r="L9" s="4" t="str">
        <f>VLOOKUP(Table1[[#This Row],[Importance]],'Logic and Calculation'!$H$3:$J$12,3,FALSE)</f>
        <v>Medium</v>
      </c>
      <c r="M9" s="4">
        <v>7</v>
      </c>
      <c r="N9" s="4">
        <f>VLOOKUP(Table1[[#This Row],[Importance]],'Logic and Calculation'!$H$3:$J$12,2,FALSE)</f>
        <v>-11</v>
      </c>
      <c r="O9" s="15"/>
    </row>
    <row r="10" spans="1:15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 t="s">
        <v>432</v>
      </c>
      <c r="K10" s="3" t="s">
        <v>91</v>
      </c>
      <c r="L10" s="4" t="str">
        <f>VLOOKUP(Table1[[#This Row],[Importance]],'Logic and Calculation'!$H$3:$J$12,3,FALSE)</f>
        <v>Medium</v>
      </c>
      <c r="M10" s="4">
        <v>6</v>
      </c>
      <c r="N10" s="4">
        <f>VLOOKUP(Table1[[#This Row],[Importance]],'Logic and Calculation'!$H$3:$J$12,2,FALSE)</f>
        <v>-9</v>
      </c>
      <c r="O10" s="15"/>
    </row>
    <row r="11" spans="1:15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 t="s">
        <v>432</v>
      </c>
      <c r="K11" s="3" t="s">
        <v>99</v>
      </c>
      <c r="L11" s="4" t="str">
        <f>VLOOKUP(Table1[[#This Row],[Importance]],'Logic and Calculation'!$H$3:$J$12,3,FALSE)</f>
        <v>Medium</v>
      </c>
      <c r="M11" s="4">
        <v>6</v>
      </c>
      <c r="N11" s="4">
        <f>VLOOKUP(Table1[[#This Row],[Importance]],'Logic and Calculation'!$H$3:$J$12,2,FALSE)</f>
        <v>-9</v>
      </c>
      <c r="O11" s="15"/>
    </row>
    <row r="12" spans="1:15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105</v>
      </c>
      <c r="H12" s="3" t="s">
        <v>106</v>
      </c>
      <c r="I12" s="3" t="s">
        <v>107</v>
      </c>
      <c r="J12" s="3" t="s">
        <v>433</v>
      </c>
      <c r="K12" s="3" t="s">
        <v>108</v>
      </c>
      <c r="L12" s="4" t="str">
        <f>VLOOKUP(Table1[[#This Row],[Importance]],'Logic and Calculation'!$H$3:$J$12,3,FALSE)</f>
        <v>Low</v>
      </c>
      <c r="M12" s="4">
        <v>4</v>
      </c>
      <c r="N12" s="4">
        <f>VLOOKUP(Table1[[#This Row],[Importance]],'Logic and Calculation'!$H$3:$J$12,2,FALSE)</f>
        <v>-5</v>
      </c>
      <c r="O12" s="15"/>
    </row>
    <row r="13" spans="1:15" ht="24" customHeight="1" x14ac:dyDescent="0.3">
      <c r="A13" s="20" t="s">
        <v>100</v>
      </c>
      <c r="B13" s="4" t="s">
        <v>92</v>
      </c>
      <c r="C13" s="4" t="s">
        <v>110</v>
      </c>
      <c r="D13" s="18" t="s">
        <v>22</v>
      </c>
      <c r="E13" s="3" t="s">
        <v>111</v>
      </c>
      <c r="F13" s="3" t="s">
        <v>112</v>
      </c>
      <c r="G13" s="3" t="s">
        <v>113</v>
      </c>
      <c r="H13" s="3" t="s">
        <v>114</v>
      </c>
      <c r="I13" s="3" t="s">
        <v>115</v>
      </c>
      <c r="J13" s="3" t="s">
        <v>434</v>
      </c>
      <c r="K13" s="3" t="s">
        <v>116</v>
      </c>
      <c r="L13" s="4" t="str">
        <f>VLOOKUP(Table1[[#This Row],[Importance]],'Logic and Calculation'!$H$3:$J$12,3,FALSE)</f>
        <v>High</v>
      </c>
      <c r="M13" s="4">
        <v>8</v>
      </c>
      <c r="N13" s="4">
        <f>VLOOKUP(Table1[[#This Row],[Importance]],'Logic and Calculation'!$H$3:$J$12,2,FALSE)</f>
        <v>-13</v>
      </c>
      <c r="O13" s="15"/>
    </row>
    <row r="14" spans="1:15" ht="24" customHeight="1" x14ac:dyDescent="0.3">
      <c r="A14" s="20" t="s">
        <v>100</v>
      </c>
      <c r="B14" s="4" t="s">
        <v>101</v>
      </c>
      <c r="C14" s="4" t="s">
        <v>118</v>
      </c>
      <c r="D14" s="18" t="s">
        <v>22</v>
      </c>
      <c r="E14" s="3" t="s">
        <v>119</v>
      </c>
      <c r="F14" s="3" t="s">
        <v>120</v>
      </c>
      <c r="G14" s="3" t="s">
        <v>121</v>
      </c>
      <c r="H14" s="3" t="s">
        <v>122</v>
      </c>
      <c r="I14" s="3" t="s">
        <v>123</v>
      </c>
      <c r="J14" s="3" t="s">
        <v>435</v>
      </c>
      <c r="K14" s="3" t="s">
        <v>116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5"/>
    </row>
    <row r="15" spans="1:15" ht="24" customHeight="1" x14ac:dyDescent="0.3">
      <c r="A15" s="20" t="s">
        <v>124</v>
      </c>
      <c r="B15" s="4" t="s">
        <v>109</v>
      </c>
      <c r="C15" s="4" t="s">
        <v>382</v>
      </c>
      <c r="D15" s="18" t="s">
        <v>22</v>
      </c>
      <c r="E15" s="3" t="s">
        <v>126</v>
      </c>
      <c r="F15" s="3" t="s">
        <v>127</v>
      </c>
      <c r="G15" s="3" t="s">
        <v>128</v>
      </c>
      <c r="H15" s="3" t="s">
        <v>129</v>
      </c>
      <c r="I15" s="3" t="s">
        <v>130</v>
      </c>
      <c r="J15" s="3"/>
      <c r="K15" s="3" t="s">
        <v>131</v>
      </c>
      <c r="L15" s="4" t="str">
        <f>VLOOKUP(Table1[[#This Row],[Importance]],'Logic and Calculation'!$H$3:$J$12,3,FALSE)</f>
        <v>Medium</v>
      </c>
      <c r="M15" s="4">
        <v>7</v>
      </c>
      <c r="N15" s="4">
        <f>VLOOKUP(Table1[[#This Row],[Importance]],'Logic and Calculation'!$H$3:$J$12,2,FALSE)</f>
        <v>-11</v>
      </c>
      <c r="O15" s="15"/>
    </row>
    <row r="16" spans="1:15" ht="24" customHeight="1" x14ac:dyDescent="0.3">
      <c r="A16" s="20" t="s">
        <v>124</v>
      </c>
      <c r="B16" s="4" t="s">
        <v>117</v>
      </c>
      <c r="C16" s="4" t="s">
        <v>133</v>
      </c>
      <c r="D16" s="18" t="s">
        <v>22</v>
      </c>
      <c r="E16" s="3" t="s">
        <v>134</v>
      </c>
      <c r="F16" s="3" t="s">
        <v>135</v>
      </c>
      <c r="G16" s="3" t="s">
        <v>136</v>
      </c>
      <c r="H16" s="3" t="s">
        <v>137</v>
      </c>
      <c r="I16" s="3" t="s">
        <v>138</v>
      </c>
      <c r="J16" s="3"/>
      <c r="K16" s="3" t="s">
        <v>139</v>
      </c>
      <c r="L16" s="4" t="str">
        <f>VLOOKUP(Table1[[#This Row],[Importance]],'Logic and Calculation'!$H$3:$J$12,3,FALSE)</f>
        <v>Low</v>
      </c>
      <c r="M16" s="4">
        <v>3</v>
      </c>
      <c r="N16" s="4">
        <f>VLOOKUP(Table1[[#This Row],[Importance]],'Logic and Calculation'!$H$3:$J$12,2,FALSE)</f>
        <v>-3</v>
      </c>
      <c r="O16" s="15"/>
    </row>
    <row r="17" spans="1:15" ht="36" customHeight="1" x14ac:dyDescent="0.3">
      <c r="A17" s="20" t="s">
        <v>124</v>
      </c>
      <c r="B17" s="4" t="s">
        <v>125</v>
      </c>
      <c r="C17" s="4" t="s">
        <v>141</v>
      </c>
      <c r="D17" s="18" t="s">
        <v>22</v>
      </c>
      <c r="E17" s="3" t="s">
        <v>142</v>
      </c>
      <c r="F17" s="3" t="s">
        <v>143</v>
      </c>
      <c r="G17" s="3" t="s">
        <v>144</v>
      </c>
      <c r="H17" s="3" t="s">
        <v>145</v>
      </c>
      <c r="I17" s="3" t="s">
        <v>146</v>
      </c>
      <c r="J17" s="3"/>
      <c r="K17" s="3" t="s">
        <v>147</v>
      </c>
      <c r="L17" s="4" t="str">
        <f>VLOOKUP(Table1[[#This Row],[Importance]],'Logic and Calculation'!$H$3:$J$12,3,FALSE)</f>
        <v>Medium</v>
      </c>
      <c r="M17" s="4">
        <v>7</v>
      </c>
      <c r="N17" s="4">
        <f>VLOOKUP(Table1[[#This Row],[Importance]],'Logic and Calculation'!$H$3:$J$12,2,FALSE)</f>
        <v>-11</v>
      </c>
      <c r="O17" s="15"/>
    </row>
    <row r="18" spans="1:15" ht="36" customHeight="1" x14ac:dyDescent="0.3">
      <c r="A18" s="20" t="s">
        <v>124</v>
      </c>
      <c r="B18" s="4" t="s">
        <v>132</v>
      </c>
      <c r="C18" s="4" t="s">
        <v>149</v>
      </c>
      <c r="D18" s="18" t="s">
        <v>22</v>
      </c>
      <c r="E18" s="3" t="s">
        <v>150</v>
      </c>
      <c r="F18" s="3" t="s">
        <v>151</v>
      </c>
      <c r="G18" s="3" t="s">
        <v>136</v>
      </c>
      <c r="H18" s="3" t="s">
        <v>152</v>
      </c>
      <c r="I18" s="3" t="s">
        <v>153</v>
      </c>
      <c r="J18" s="3"/>
      <c r="K18" s="3" t="s">
        <v>154</v>
      </c>
      <c r="L18" s="4" t="str">
        <f>VLOOKUP(Table1[[#This Row],[Importance]],'Logic and Calculation'!$H$3:$J$12,3,FALSE)</f>
        <v>Low</v>
      </c>
      <c r="M18" s="4">
        <v>3</v>
      </c>
      <c r="N18" s="4">
        <f>VLOOKUP(Table1[[#This Row],[Importance]],'Logic and Calculation'!$H$3:$J$12,2,FALSE)</f>
        <v>-3</v>
      </c>
      <c r="O18" s="15"/>
    </row>
    <row r="19" spans="1:15" ht="36" customHeight="1" thickBot="1" x14ac:dyDescent="0.35">
      <c r="A19" s="20" t="s">
        <v>19</v>
      </c>
      <c r="B19" s="4" t="s">
        <v>140</v>
      </c>
      <c r="C19" s="4" t="s">
        <v>156</v>
      </c>
      <c r="D19" s="18" t="s">
        <v>22</v>
      </c>
      <c r="E19" s="6" t="s">
        <v>365</v>
      </c>
      <c r="F19" s="6" t="s">
        <v>366</v>
      </c>
      <c r="G19" s="6" t="s">
        <v>367</v>
      </c>
      <c r="H19" s="6" t="s">
        <v>368</v>
      </c>
      <c r="I19" s="6" t="s">
        <v>342</v>
      </c>
      <c r="J19" s="6" t="s">
        <v>436</v>
      </c>
      <c r="K19" s="6" t="s">
        <v>343</v>
      </c>
      <c r="L19" s="4" t="str">
        <f>VLOOKUP(Table1[[#This Row],[Importance]],'Logic and Calculation'!$H$3:$J$12,3,FALSE)</f>
        <v>Medium</v>
      </c>
      <c r="M19" s="5">
        <v>7</v>
      </c>
      <c r="N19" s="4">
        <f>VLOOKUP(Table1[[#This Row],[Importance]],'Logic and Calculation'!$H$3:$J$12,2,FALSE)</f>
        <v>-11</v>
      </c>
      <c r="O19" s="15"/>
    </row>
    <row r="20" spans="1:15" ht="36" customHeight="1" x14ac:dyDescent="0.3">
      <c r="A20" s="20" t="s">
        <v>19</v>
      </c>
      <c r="B20" s="4" t="s">
        <v>148</v>
      </c>
      <c r="C20" s="4" t="s">
        <v>164</v>
      </c>
      <c r="D20" s="18" t="s">
        <v>22</v>
      </c>
      <c r="E20" s="3" t="s">
        <v>157</v>
      </c>
      <c r="F20" s="3" t="s">
        <v>158</v>
      </c>
      <c r="G20" s="3" t="s">
        <v>159</v>
      </c>
      <c r="H20" s="3" t="s">
        <v>160</v>
      </c>
      <c r="I20" s="3" t="s">
        <v>161</v>
      </c>
      <c r="J20" s="3"/>
      <c r="K20" s="3" t="s">
        <v>162</v>
      </c>
      <c r="L20" s="4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-11</v>
      </c>
      <c r="O20" s="15"/>
    </row>
    <row r="21" spans="1:15" ht="36" customHeight="1" x14ac:dyDescent="0.3">
      <c r="A21" s="20" t="s">
        <v>19</v>
      </c>
      <c r="B21" s="4" t="s">
        <v>155</v>
      </c>
      <c r="C21" s="4" t="s">
        <v>171</v>
      </c>
      <c r="D21" s="18" t="s">
        <v>22</v>
      </c>
      <c r="E21" s="3" t="s">
        <v>165</v>
      </c>
      <c r="F21" s="3" t="s">
        <v>166</v>
      </c>
      <c r="G21" s="3" t="s">
        <v>167</v>
      </c>
      <c r="H21" s="3" t="s">
        <v>168</v>
      </c>
      <c r="I21" s="3" t="s">
        <v>169</v>
      </c>
      <c r="J21" s="3"/>
      <c r="K21" s="3" t="s">
        <v>162</v>
      </c>
      <c r="L21" s="4" t="str">
        <f>VLOOKUP(Table1[[#This Row],[Importance]],'Logic and Calculation'!$H$3:$J$12,3,FALSE)</f>
        <v>Medium</v>
      </c>
      <c r="M21" s="4">
        <v>5</v>
      </c>
      <c r="N21" s="4">
        <f>VLOOKUP(Table1[[#This Row],[Importance]],'Logic and Calculation'!$H$3:$J$12,2,FALSE)</f>
        <v>-7</v>
      </c>
      <c r="O21" s="15"/>
    </row>
    <row r="22" spans="1:15" ht="36" customHeight="1" x14ac:dyDescent="0.3">
      <c r="A22" s="20" t="s">
        <v>19</v>
      </c>
      <c r="B22" s="4" t="s">
        <v>163</v>
      </c>
      <c r="C22" s="4" t="s">
        <v>178</v>
      </c>
      <c r="D22" s="18" t="s">
        <v>22</v>
      </c>
      <c r="E22" s="3" t="s">
        <v>172</v>
      </c>
      <c r="F22" s="3" t="s">
        <v>173</v>
      </c>
      <c r="G22" s="3" t="s">
        <v>174</v>
      </c>
      <c r="H22" s="3" t="s">
        <v>175</v>
      </c>
      <c r="I22" s="3" t="s">
        <v>176</v>
      </c>
      <c r="J22" s="3"/>
      <c r="K22" s="3" t="s">
        <v>162</v>
      </c>
      <c r="L22" s="4" t="str">
        <f>VLOOKUP(Table1[[#This Row],[Importance]],'Logic and Calculation'!$H$3:$J$12,3,FALSE)</f>
        <v>Medium</v>
      </c>
      <c r="M22" s="4">
        <v>5</v>
      </c>
      <c r="N22" s="4">
        <f>VLOOKUP(Table1[[#This Row],[Importance]],'Logic and Calculation'!$H$3:$J$12,2,FALSE)</f>
        <v>-7</v>
      </c>
      <c r="O22" s="15"/>
    </row>
    <row r="23" spans="1:15" ht="36" customHeight="1" x14ac:dyDescent="0.3">
      <c r="A23" s="20" t="s">
        <v>19</v>
      </c>
      <c r="B23" s="4" t="s">
        <v>170</v>
      </c>
      <c r="C23" s="4" t="s">
        <v>185</v>
      </c>
      <c r="D23" s="18" t="s">
        <v>22</v>
      </c>
      <c r="E23" s="3" t="s">
        <v>179</v>
      </c>
      <c r="F23" s="3" t="s">
        <v>180</v>
      </c>
      <c r="G23" s="3" t="s">
        <v>181</v>
      </c>
      <c r="H23" s="3" t="s">
        <v>182</v>
      </c>
      <c r="I23" s="3" t="s">
        <v>183</v>
      </c>
      <c r="J23" s="9" t="s">
        <v>437</v>
      </c>
      <c r="K23" s="3" t="s">
        <v>57</v>
      </c>
      <c r="L23" s="4" t="str">
        <f>VLOOKUP(Table1[[#This Row],[Importance]],'Logic and Calculation'!$H$3:$J$12,3,FALSE)</f>
        <v>Low</v>
      </c>
      <c r="M23" s="4">
        <v>3</v>
      </c>
      <c r="N23" s="4">
        <f>VLOOKUP(Table1[[#This Row],[Importance]],'Logic and Calculation'!$H$3:$J$12,2,FALSE)</f>
        <v>-3</v>
      </c>
      <c r="O23" s="15"/>
    </row>
    <row r="24" spans="1:15" ht="36" customHeight="1" x14ac:dyDescent="0.3">
      <c r="A24" s="20" t="s">
        <v>19</v>
      </c>
      <c r="B24" s="4" t="s">
        <v>177</v>
      </c>
      <c r="C24" s="4" t="s">
        <v>189</v>
      </c>
      <c r="D24" s="18" t="s">
        <v>22</v>
      </c>
      <c r="E24" s="3" t="s">
        <v>387</v>
      </c>
      <c r="F24" s="3" t="s">
        <v>186</v>
      </c>
      <c r="G24" s="3" t="s">
        <v>388</v>
      </c>
      <c r="H24" s="3" t="s">
        <v>389</v>
      </c>
      <c r="I24" s="3" t="s">
        <v>390</v>
      </c>
      <c r="J24" s="9" t="s">
        <v>438</v>
      </c>
      <c r="K24" s="3" t="s">
        <v>187</v>
      </c>
      <c r="L24" s="4" t="str">
        <f>VLOOKUP(Table1[[#This Row],[Importance]],'Logic and Calculation'!$H$3:$J$12,3,FALSE)</f>
        <v>Medium</v>
      </c>
      <c r="M24" s="4">
        <v>7</v>
      </c>
      <c r="N24" s="4">
        <f>VLOOKUP(Table1[[#This Row],[Importance]],'Logic and Calculation'!$H$3:$J$12,2,FALSE)</f>
        <v>-11</v>
      </c>
      <c r="O24" s="15"/>
    </row>
    <row r="25" spans="1:15" ht="60" customHeight="1" x14ac:dyDescent="0.3">
      <c r="A25" s="20" t="s">
        <v>19</v>
      </c>
      <c r="B25" s="4" t="s">
        <v>184</v>
      </c>
      <c r="C25" s="4" t="s">
        <v>193</v>
      </c>
      <c r="D25" s="18" t="s">
        <v>22</v>
      </c>
      <c r="E25" s="3" t="s">
        <v>391</v>
      </c>
      <c r="F25" s="3" t="s">
        <v>190</v>
      </c>
      <c r="G25" s="3" t="s">
        <v>392</v>
      </c>
      <c r="H25" s="3" t="s">
        <v>393</v>
      </c>
      <c r="I25" s="3" t="s">
        <v>394</v>
      </c>
      <c r="J25" s="9" t="s">
        <v>438</v>
      </c>
      <c r="K25" s="3" t="s">
        <v>191</v>
      </c>
      <c r="L25" s="4" t="str">
        <f>VLOOKUP(Table1[[#This Row],[Importance]],'Logic and Calculation'!$H$3:$J$12,3,FALSE)</f>
        <v>Medium</v>
      </c>
      <c r="M25" s="4">
        <v>7</v>
      </c>
      <c r="N25" s="4">
        <f>VLOOKUP(Table1[[#This Row],[Importance]],'Logic and Calculation'!$H$3:$J$12,2,FALSE)</f>
        <v>-11</v>
      </c>
      <c r="O25" s="15"/>
    </row>
    <row r="26" spans="1:15" ht="36" customHeight="1" x14ac:dyDescent="0.3">
      <c r="A26" s="20" t="s">
        <v>19</v>
      </c>
      <c r="B26" s="4" t="s">
        <v>188</v>
      </c>
      <c r="C26" s="4" t="s">
        <v>199</v>
      </c>
      <c r="D26" s="18" t="s">
        <v>22</v>
      </c>
      <c r="E26" s="3" t="s">
        <v>194</v>
      </c>
      <c r="F26" s="3" t="s">
        <v>195</v>
      </c>
      <c r="G26" s="3" t="s">
        <v>395</v>
      </c>
      <c r="H26" s="3" t="s">
        <v>396</v>
      </c>
      <c r="I26" s="3" t="s">
        <v>196</v>
      </c>
      <c r="J26" s="9" t="s">
        <v>438</v>
      </c>
      <c r="K26" s="3" t="s">
        <v>197</v>
      </c>
      <c r="L26" s="4" t="str">
        <f>VLOOKUP(Table1[[#This Row],[Importance]],'Logic and Calculation'!$H$3:$J$12,3,FALSE)</f>
        <v>Medium</v>
      </c>
      <c r="M26" s="4">
        <v>5</v>
      </c>
      <c r="N26" s="4">
        <f>VLOOKUP(Table1[[#This Row],[Importance]],'Logic and Calculation'!$H$3:$J$12,2,FALSE)</f>
        <v>-7</v>
      </c>
      <c r="O26" s="15"/>
    </row>
    <row r="27" spans="1:15" ht="36" customHeight="1" x14ac:dyDescent="0.3">
      <c r="A27" s="20" t="s">
        <v>19</v>
      </c>
      <c r="B27" s="4" t="s">
        <v>192</v>
      </c>
      <c r="C27" s="4" t="s">
        <v>207</v>
      </c>
      <c r="D27" s="18" t="s">
        <v>22</v>
      </c>
      <c r="E27" s="3" t="s">
        <v>200</v>
      </c>
      <c r="F27" s="3" t="s">
        <v>201</v>
      </c>
      <c r="G27" s="3" t="s">
        <v>202</v>
      </c>
      <c r="H27" s="3" t="s">
        <v>203</v>
      </c>
      <c r="I27" s="3" t="s">
        <v>204</v>
      </c>
      <c r="J27" s="4" t="s">
        <v>439</v>
      </c>
      <c r="K27" s="3" t="s">
        <v>205</v>
      </c>
      <c r="L27" s="4" t="str">
        <f>VLOOKUP(Table1[[#This Row],[Importance]],'Logic and Calculation'!$H$3:$J$12,3,FALSE)</f>
        <v>Medium</v>
      </c>
      <c r="M27" s="4">
        <v>6</v>
      </c>
      <c r="N27" s="4">
        <f>VLOOKUP(Table1[[#This Row],[Importance]],'Logic and Calculation'!$H$3:$J$12,2,FALSE)</f>
        <v>-9</v>
      </c>
      <c r="O27" s="15"/>
    </row>
    <row r="28" spans="1:15" ht="36" customHeight="1" x14ac:dyDescent="0.3">
      <c r="A28" s="20" t="s">
        <v>19</v>
      </c>
      <c r="B28" s="4" t="s">
        <v>198</v>
      </c>
      <c r="C28" s="4" t="s">
        <v>214</v>
      </c>
      <c r="D28" s="18" t="s">
        <v>22</v>
      </c>
      <c r="E28" s="3" t="s">
        <v>208</v>
      </c>
      <c r="F28" s="3" t="s">
        <v>209</v>
      </c>
      <c r="G28" s="3" t="s">
        <v>202</v>
      </c>
      <c r="H28" s="3" t="s">
        <v>210</v>
      </c>
      <c r="I28" s="3" t="s">
        <v>211</v>
      </c>
      <c r="J28" s="4" t="s">
        <v>440</v>
      </c>
      <c r="K28" s="3" t="s">
        <v>212</v>
      </c>
      <c r="L28" s="4" t="str">
        <f>VLOOKUP(Table1[[#This Row],[Importance]],'Logic and Calculation'!$H$3:$J$12,3,FALSE)</f>
        <v>Medium</v>
      </c>
      <c r="M28" s="4">
        <v>6</v>
      </c>
      <c r="N28" s="4">
        <f>VLOOKUP(Table1[[#This Row],[Importance]],'Logic and Calculation'!$H$3:$J$12,2,FALSE)</f>
        <v>-9</v>
      </c>
      <c r="O28" s="15"/>
    </row>
    <row r="29" spans="1:15" ht="36" customHeight="1" x14ac:dyDescent="0.3">
      <c r="A29" s="20" t="s">
        <v>19</v>
      </c>
      <c r="B29" s="4" t="s">
        <v>206</v>
      </c>
      <c r="C29" s="4" t="s">
        <v>221</v>
      </c>
      <c r="D29" s="18" t="s">
        <v>22</v>
      </c>
      <c r="E29" s="3" t="s">
        <v>215</v>
      </c>
      <c r="F29" s="3" t="s">
        <v>216</v>
      </c>
      <c r="G29" s="3" t="s">
        <v>202</v>
      </c>
      <c r="H29" s="3" t="s">
        <v>217</v>
      </c>
      <c r="I29" s="3" t="s">
        <v>218</v>
      </c>
      <c r="J29" s="4" t="s">
        <v>441</v>
      </c>
      <c r="K29" s="3" t="s">
        <v>219</v>
      </c>
      <c r="L29" s="4" t="str">
        <f>VLOOKUP(Table1[[#This Row],[Importance]],'Logic and Calculation'!$H$3:$J$12,3,FALSE)</f>
        <v>High</v>
      </c>
      <c r="M29" s="4">
        <v>8</v>
      </c>
      <c r="N29" s="4">
        <f>VLOOKUP(Table1[[#This Row],[Importance]],'Logic and Calculation'!$H$3:$J$12,2,FALSE)</f>
        <v>-13</v>
      </c>
      <c r="O29" s="15"/>
    </row>
    <row r="30" spans="1:15" ht="24" customHeight="1" x14ac:dyDescent="0.3">
      <c r="A30" s="20" t="s">
        <v>19</v>
      </c>
      <c r="B30" s="4" t="s">
        <v>213</v>
      </c>
      <c r="C30" s="4" t="s">
        <v>229</v>
      </c>
      <c r="D30" s="18" t="s">
        <v>22</v>
      </c>
      <c r="E30" s="3" t="s">
        <v>222</v>
      </c>
      <c r="F30" s="3" t="s">
        <v>223</v>
      </c>
      <c r="G30" s="3" t="s">
        <v>224</v>
      </c>
      <c r="H30" s="3" t="s">
        <v>225</v>
      </c>
      <c r="I30" s="3" t="s">
        <v>226</v>
      </c>
      <c r="J30" s="3" t="s">
        <v>442</v>
      </c>
      <c r="K30" s="3" t="s">
        <v>227</v>
      </c>
      <c r="L30" s="4" t="str">
        <f>VLOOKUP(Table1[[#This Row],[Importance]],'Logic and Calculation'!$H$3:$J$12,3,FALSE)</f>
        <v>Low</v>
      </c>
      <c r="M30" s="4">
        <v>4</v>
      </c>
      <c r="N30" s="4">
        <f>VLOOKUP(Table1[[#This Row],[Importance]],'Logic and Calculation'!$H$3:$J$12,2,FALSE)</f>
        <v>-5</v>
      </c>
      <c r="O30" s="15"/>
    </row>
    <row r="31" spans="1:15" ht="108" customHeight="1" x14ac:dyDescent="0.3">
      <c r="A31" s="20" t="s">
        <v>19</v>
      </c>
      <c r="B31" s="4" t="s">
        <v>220</v>
      </c>
      <c r="C31" s="4" t="s">
        <v>238</v>
      </c>
      <c r="D31" s="18" t="s">
        <v>22</v>
      </c>
      <c r="E31" s="3" t="s">
        <v>321</v>
      </c>
      <c r="F31" s="3" t="s">
        <v>322</v>
      </c>
      <c r="G31" s="3" t="s">
        <v>224</v>
      </c>
      <c r="H31" s="3" t="s">
        <v>323</v>
      </c>
      <c r="I31" s="3" t="s">
        <v>324</v>
      </c>
      <c r="J31" s="4" t="s">
        <v>443</v>
      </c>
      <c r="K31" s="3" t="s">
        <v>325</v>
      </c>
      <c r="L31" s="4" t="str">
        <f>VLOOKUP(Table1[[#This Row],[Importance]],'Logic and Calculation'!$H$3:$J$12,3,FALSE)</f>
        <v>Medium</v>
      </c>
      <c r="M31" s="4">
        <v>6</v>
      </c>
      <c r="N31" s="4">
        <f>VLOOKUP(Table1[[#This Row],[Importance]],'Logic and Calculation'!$H$3:$J$12,2,FALSE)</f>
        <v>-9</v>
      </c>
      <c r="O31" s="15"/>
    </row>
    <row r="32" spans="1:15" ht="60" customHeight="1" x14ac:dyDescent="0.3">
      <c r="A32" s="20" t="s">
        <v>19</v>
      </c>
      <c r="B32" s="4" t="s">
        <v>228</v>
      </c>
      <c r="C32" s="4" t="s">
        <v>245</v>
      </c>
      <c r="D32" s="18" t="s">
        <v>22</v>
      </c>
      <c r="E32" s="3" t="s">
        <v>327</v>
      </c>
      <c r="F32" s="3" t="s">
        <v>328</v>
      </c>
      <c r="G32" s="3" t="s">
        <v>202</v>
      </c>
      <c r="H32" s="3" t="s">
        <v>329</v>
      </c>
      <c r="I32" s="3" t="s">
        <v>330</v>
      </c>
      <c r="J32" s="4" t="s">
        <v>444</v>
      </c>
      <c r="K32" s="3" t="s">
        <v>331</v>
      </c>
      <c r="L32" s="4" t="str">
        <f>VLOOKUP(Table1[[#This Row],[Importance]],'Logic and Calculation'!$H$3:$J$12,3,FALSE)</f>
        <v>Medium</v>
      </c>
      <c r="M32" s="4">
        <v>5</v>
      </c>
      <c r="N32" s="4">
        <f>VLOOKUP(Table1[[#This Row],[Importance]],'Logic and Calculation'!$H$3:$J$12,2,FALSE)</f>
        <v>-7</v>
      </c>
      <c r="O32" s="15"/>
    </row>
    <row r="33" spans="1:15" ht="48" customHeight="1" x14ac:dyDescent="0.3">
      <c r="A33" s="20" t="s">
        <v>19</v>
      </c>
      <c r="B33" s="4" t="s">
        <v>237</v>
      </c>
      <c r="C33" s="4" t="s">
        <v>253</v>
      </c>
      <c r="D33" s="18" t="s">
        <v>22</v>
      </c>
      <c r="E33" s="3" t="s">
        <v>332</v>
      </c>
      <c r="F33" s="3" t="s">
        <v>333</v>
      </c>
      <c r="G33" s="3" t="s">
        <v>202</v>
      </c>
      <c r="H33" s="3" t="s">
        <v>334</v>
      </c>
      <c r="I33" s="3" t="s">
        <v>335</v>
      </c>
      <c r="J33" s="4" t="s">
        <v>445</v>
      </c>
      <c r="K33" s="3" t="s">
        <v>336</v>
      </c>
      <c r="L33" s="4" t="str">
        <f>VLOOKUP(Table1[[#This Row],[Importance]],'Logic and Calculation'!$H$3:$J$12,3,FALSE)</f>
        <v>Low</v>
      </c>
      <c r="M33" s="4">
        <v>4</v>
      </c>
      <c r="N33" s="4">
        <f>VLOOKUP(Table1[[#This Row],[Importance]],'Logic and Calculation'!$H$3:$J$12,2,FALSE)</f>
        <v>-5</v>
      </c>
      <c r="O33" s="15"/>
    </row>
    <row r="34" spans="1:15" ht="36" customHeight="1" x14ac:dyDescent="0.3">
      <c r="A34" s="20" t="s">
        <v>19</v>
      </c>
      <c r="B34" s="4" t="s">
        <v>244</v>
      </c>
      <c r="C34" s="4" t="s">
        <v>256</v>
      </c>
      <c r="D34" s="18" t="s">
        <v>22</v>
      </c>
      <c r="E34" s="3" t="s">
        <v>337</v>
      </c>
      <c r="F34" s="3" t="s">
        <v>338</v>
      </c>
      <c r="G34" s="3" t="s">
        <v>202</v>
      </c>
      <c r="H34" s="3" t="s">
        <v>339</v>
      </c>
      <c r="I34" s="3" t="s">
        <v>340</v>
      </c>
      <c r="J34" s="4" t="s">
        <v>446</v>
      </c>
      <c r="K34" s="3" t="s">
        <v>341</v>
      </c>
      <c r="L34" s="4" t="str">
        <f>VLOOKUP(Table1[[#This Row],[Importance]],'Logic and Calculation'!$H$3:$J$12,3,FALSE)</f>
        <v>Medium</v>
      </c>
      <c r="M34" s="4">
        <v>5</v>
      </c>
      <c r="N34" s="4">
        <f>VLOOKUP(Table1[[#This Row],[Importance]],'Logic and Calculation'!$H$3:$J$12,2,FALSE)</f>
        <v>-7</v>
      </c>
      <c r="O34" s="15"/>
    </row>
    <row r="35" spans="1:15" ht="36" customHeight="1" x14ac:dyDescent="0.3">
      <c r="A35" s="20" t="s">
        <v>370</v>
      </c>
      <c r="B35" s="4" t="s">
        <v>252</v>
      </c>
      <c r="C35" s="4" t="s">
        <v>258</v>
      </c>
      <c r="D35" s="18" t="s">
        <v>22</v>
      </c>
      <c r="E35" s="3" t="s">
        <v>230</v>
      </c>
      <c r="F35" s="3" t="s">
        <v>231</v>
      </c>
      <c r="G35" s="3" t="s">
        <v>232</v>
      </c>
      <c r="H35" s="3" t="s">
        <v>233</v>
      </c>
      <c r="I35" s="3" t="s">
        <v>234</v>
      </c>
      <c r="J35" s="3"/>
      <c r="K35" s="3" t="s">
        <v>235</v>
      </c>
      <c r="L35" s="4" t="str">
        <f>VLOOKUP(Table1[[#This Row],[Importance]],'Logic and Calculation'!$H$3:$J$12,3,FALSE)</f>
        <v>High</v>
      </c>
      <c r="M35" s="4">
        <v>8</v>
      </c>
      <c r="N35" s="4">
        <f>VLOOKUP(Table1[[#This Row],[Importance]],'Logic and Calculation'!$H$3:$J$12,2,FALSE)</f>
        <v>-13</v>
      </c>
      <c r="O35" s="15"/>
    </row>
    <row r="36" spans="1:15" ht="36" customHeight="1" x14ac:dyDescent="0.3">
      <c r="A36" s="20" t="s">
        <v>236</v>
      </c>
      <c r="B36" s="4" t="s">
        <v>255</v>
      </c>
      <c r="C36" s="4" t="s">
        <v>262</v>
      </c>
      <c r="D36" s="18" t="s">
        <v>22</v>
      </c>
      <c r="E36" s="3" t="s">
        <v>380</v>
      </c>
      <c r="F36" s="3" t="s">
        <v>239</v>
      </c>
      <c r="G36" s="3" t="s">
        <v>240</v>
      </c>
      <c r="H36" s="3" t="s">
        <v>241</v>
      </c>
      <c r="I36" s="3" t="s">
        <v>242</v>
      </c>
      <c r="J36" s="3"/>
      <c r="K36" s="3" t="s">
        <v>243</v>
      </c>
      <c r="L36" s="4" t="str">
        <f>VLOOKUP(Table1[[#This Row],[Importance]],'Logic and Calculation'!$H$3:$J$12,3,FALSE)</f>
        <v>High</v>
      </c>
      <c r="M36" s="4">
        <v>9</v>
      </c>
      <c r="N36" s="4">
        <f>VLOOKUP(Table1[[#This Row],[Importance]],'Logic and Calculation'!$H$3:$J$12,2,FALSE)</f>
        <v>-15</v>
      </c>
      <c r="O36" s="15"/>
    </row>
    <row r="37" spans="1:15" ht="48" customHeight="1" x14ac:dyDescent="0.3">
      <c r="A37" s="20" t="s">
        <v>236</v>
      </c>
      <c r="B37" s="4" t="s">
        <v>257</v>
      </c>
      <c r="C37" s="4" t="s">
        <v>270</v>
      </c>
      <c r="D37" s="18" t="s">
        <v>22</v>
      </c>
      <c r="E37" s="3" t="s">
        <v>246</v>
      </c>
      <c r="F37" s="3" t="s">
        <v>247</v>
      </c>
      <c r="G37" s="3" t="s">
        <v>248</v>
      </c>
      <c r="H37" s="3" t="s">
        <v>249</v>
      </c>
      <c r="I37" s="3" t="s">
        <v>250</v>
      </c>
      <c r="J37" s="3"/>
      <c r="K37" s="3" t="s">
        <v>251</v>
      </c>
      <c r="L37" s="4" t="str">
        <f>VLOOKUP(Table1[[#This Row],[Importance]],'Logic and Calculation'!$H$3:$J$12,3,FALSE)</f>
        <v>Medium</v>
      </c>
      <c r="M37" s="4">
        <v>6</v>
      </c>
      <c r="N37" s="4">
        <f>VLOOKUP(Table1[[#This Row],[Importance]],'Logic and Calculation'!$H$3:$J$12,2,FALSE)</f>
        <v>-9</v>
      </c>
      <c r="O37" s="15"/>
    </row>
    <row r="38" spans="1:15" ht="36" customHeight="1" x14ac:dyDescent="0.3">
      <c r="A38" s="20" t="s">
        <v>236</v>
      </c>
      <c r="B38" s="4" t="s">
        <v>261</v>
      </c>
      <c r="C38" s="4" t="s">
        <v>272</v>
      </c>
      <c r="D38" s="18" t="s">
        <v>22</v>
      </c>
      <c r="E38" s="3" t="s">
        <v>397</v>
      </c>
      <c r="F38" s="3" t="s">
        <v>254</v>
      </c>
      <c r="G38" s="3" t="s">
        <v>398</v>
      </c>
      <c r="H38" s="3" t="s">
        <v>399</v>
      </c>
      <c r="I38" s="3" t="s">
        <v>400</v>
      </c>
      <c r="J38" s="3" t="s">
        <v>447</v>
      </c>
      <c r="K38" s="3" t="s">
        <v>401</v>
      </c>
      <c r="L38" s="4" t="str">
        <f>VLOOKUP(Table1[[#This Row],[Importance]],'Logic and Calculation'!$H$3:$J$12,3,FALSE)</f>
        <v>High</v>
      </c>
      <c r="M38" s="4">
        <v>8</v>
      </c>
      <c r="N38" s="4">
        <f>VLOOKUP(Table1[[#This Row],[Importance]],'Logic and Calculation'!$H$3:$J$12,2,FALSE)</f>
        <v>-13</v>
      </c>
      <c r="O38" s="15"/>
    </row>
    <row r="39" spans="1:15" ht="36" customHeight="1" x14ac:dyDescent="0.3">
      <c r="A39" s="20" t="s">
        <v>236</v>
      </c>
      <c r="B39" s="4" t="s">
        <v>269</v>
      </c>
      <c r="C39" s="4" t="s">
        <v>383</v>
      </c>
      <c r="D39" s="18" t="s">
        <v>22</v>
      </c>
      <c r="E39" s="3" t="s">
        <v>402</v>
      </c>
      <c r="F39" s="3" t="s">
        <v>403</v>
      </c>
      <c r="G39" s="3" t="s">
        <v>404</v>
      </c>
      <c r="H39" s="3" t="s">
        <v>405</v>
      </c>
      <c r="I39" s="3" t="s">
        <v>406</v>
      </c>
      <c r="J39" s="3"/>
      <c r="K39" s="3" t="s">
        <v>407</v>
      </c>
      <c r="L39" s="4" t="str">
        <f>VLOOKUP(Table1[[#This Row],[Importance]],'Logic and Calculation'!$H$3:$J$12,3,FALSE)</f>
        <v>Medium</v>
      </c>
      <c r="M39" s="4">
        <v>7</v>
      </c>
      <c r="N39" s="4">
        <f>VLOOKUP(Table1[[#This Row],[Importance]],'Logic and Calculation'!$H$3:$J$12,2,FALSE)</f>
        <v>-11</v>
      </c>
      <c r="O39" s="15"/>
    </row>
    <row r="40" spans="1:15" ht="36" customHeight="1" x14ac:dyDescent="0.3">
      <c r="A40" s="20" t="s">
        <v>236</v>
      </c>
      <c r="B40" s="4" t="s">
        <v>271</v>
      </c>
      <c r="C40" s="4" t="s">
        <v>371</v>
      </c>
      <c r="D40" s="18" t="s">
        <v>22</v>
      </c>
      <c r="E40" s="3" t="s">
        <v>408</v>
      </c>
      <c r="F40" s="3" t="s">
        <v>259</v>
      </c>
      <c r="G40" s="3" t="s">
        <v>409</v>
      </c>
      <c r="H40" s="3" t="s">
        <v>410</v>
      </c>
      <c r="I40" s="3" t="s">
        <v>411</v>
      </c>
      <c r="J40" s="3" t="s">
        <v>448</v>
      </c>
      <c r="K40" s="3" t="s">
        <v>412</v>
      </c>
      <c r="L40" s="4" t="str">
        <f>VLOOKUP(Table1[[#This Row],[Importance]],'Logic and Calculation'!$H$3:$J$12,3,FALSE)</f>
        <v>Medium</v>
      </c>
      <c r="M40" s="4">
        <v>5</v>
      </c>
      <c r="N40" s="4">
        <f>VLOOKUP(Table1[[#This Row],[Importance]],'Logic and Calculation'!$H$3:$J$12,2,FALSE)</f>
        <v>-7</v>
      </c>
      <c r="O40" s="15"/>
    </row>
    <row r="41" spans="1:15" ht="24" customHeight="1" x14ac:dyDescent="0.3">
      <c r="A41" s="20" t="s">
        <v>260</v>
      </c>
      <c r="B41" s="4" t="s">
        <v>273</v>
      </c>
      <c r="C41" s="4" t="s">
        <v>289</v>
      </c>
      <c r="D41" s="18" t="s">
        <v>22</v>
      </c>
      <c r="E41" s="3" t="s">
        <v>263</v>
      </c>
      <c r="F41" s="3" t="s">
        <v>264</v>
      </c>
      <c r="G41" s="3" t="s">
        <v>265</v>
      </c>
      <c r="H41" s="3" t="s">
        <v>266</v>
      </c>
      <c r="I41" s="3" t="s">
        <v>267</v>
      </c>
      <c r="J41" s="3" t="s">
        <v>449</v>
      </c>
      <c r="K41" s="3" t="s">
        <v>268</v>
      </c>
      <c r="L41" s="4" t="str">
        <f>VLOOKUP(Table1[[#This Row],[Importance]],'Logic and Calculation'!$H$3:$J$12,3,FALSE)</f>
        <v>Medium</v>
      </c>
      <c r="M41" s="4">
        <v>6</v>
      </c>
      <c r="N41" s="4">
        <f>VLOOKUP(Table1[[#This Row],[Importance]],'Logic and Calculation'!$H$3:$J$12,2,FALSE)</f>
        <v>-9</v>
      </c>
      <c r="O41" s="15"/>
    </row>
    <row r="42" spans="1:15" ht="36" customHeight="1" x14ac:dyDescent="0.3">
      <c r="A42" s="20" t="s">
        <v>260</v>
      </c>
      <c r="B42" s="4" t="s">
        <v>280</v>
      </c>
      <c r="C42" s="4" t="s">
        <v>384</v>
      </c>
      <c r="D42" s="18" t="s">
        <v>22</v>
      </c>
      <c r="E42" s="3" t="s">
        <v>413</v>
      </c>
      <c r="F42" s="3" t="s">
        <v>414</v>
      </c>
      <c r="G42" s="3" t="s">
        <v>415</v>
      </c>
      <c r="H42" s="3" t="s">
        <v>416</v>
      </c>
      <c r="I42" s="3" t="s">
        <v>417</v>
      </c>
      <c r="J42" s="3" t="s">
        <v>455</v>
      </c>
      <c r="K42" s="3" t="s">
        <v>418</v>
      </c>
      <c r="L42" s="4" t="str">
        <f>VLOOKUP(Table1[[#This Row],[Importance]],'Logic and Calculation'!$H$3:$J$12,3,FALSE)</f>
        <v>Medium</v>
      </c>
      <c r="M42" s="4">
        <v>6</v>
      </c>
      <c r="N42" s="4">
        <f>VLOOKUP(Table1[[#This Row],[Importance]],'Logic and Calculation'!$H$3:$J$12,2,FALSE)</f>
        <v>-9</v>
      </c>
      <c r="O42" s="15"/>
    </row>
    <row r="43" spans="1:15" ht="48" customHeight="1" x14ac:dyDescent="0.3">
      <c r="A43" s="20" t="s">
        <v>260</v>
      </c>
      <c r="B43" s="4" t="s">
        <v>288</v>
      </c>
      <c r="C43" s="4" t="s">
        <v>305</v>
      </c>
      <c r="D43" s="18" t="s">
        <v>22</v>
      </c>
      <c r="E43" s="3" t="s">
        <v>274</v>
      </c>
      <c r="F43" s="3" t="s">
        <v>275</v>
      </c>
      <c r="G43" s="3" t="s">
        <v>276</v>
      </c>
      <c r="H43" s="3" t="s">
        <v>277</v>
      </c>
      <c r="I43" s="3" t="s">
        <v>278</v>
      </c>
      <c r="J43" s="3" t="s">
        <v>454</v>
      </c>
      <c r="K43" s="3" t="s">
        <v>279</v>
      </c>
      <c r="L43" s="4" t="str">
        <f>VLOOKUP(Table1[[#This Row],[Importance]],'Logic and Calculation'!$H$3:$J$12,3,FALSE)</f>
        <v>Medium</v>
      </c>
      <c r="M43" s="4">
        <v>5</v>
      </c>
      <c r="N43" s="4">
        <f>VLOOKUP(Table1[[#This Row],[Importance]],'Logic and Calculation'!$H$3:$J$12,2,FALSE)</f>
        <v>-7</v>
      </c>
      <c r="O43" s="15"/>
    </row>
    <row r="44" spans="1:15" ht="36" customHeight="1" x14ac:dyDescent="0.3">
      <c r="A44" s="20" t="s">
        <v>260</v>
      </c>
      <c r="B44" s="4" t="s">
        <v>295</v>
      </c>
      <c r="C44" s="4" t="s">
        <v>307</v>
      </c>
      <c r="D44" s="18" t="s">
        <v>22</v>
      </c>
      <c r="E44" s="3" t="s">
        <v>281</v>
      </c>
      <c r="F44" s="3" t="s">
        <v>282</v>
      </c>
      <c r="G44" s="3" t="s">
        <v>283</v>
      </c>
      <c r="H44" s="3" t="s">
        <v>284</v>
      </c>
      <c r="I44" s="3" t="s">
        <v>285</v>
      </c>
      <c r="J44" s="3" t="s">
        <v>453</v>
      </c>
      <c r="K44" s="3" t="s">
        <v>286</v>
      </c>
      <c r="L44" s="4" t="str">
        <f>VLOOKUP(Table1[[#This Row],[Importance]],'Logic and Calculation'!$H$3:$J$12,3,FALSE)</f>
        <v>Medium</v>
      </c>
      <c r="M44" s="4">
        <v>7</v>
      </c>
      <c r="N44" s="4">
        <f>VLOOKUP(Table1[[#This Row],[Importance]],'Logic and Calculation'!$H$3:$J$12,2,FALSE)</f>
        <v>-11</v>
      </c>
      <c r="O44" s="15"/>
    </row>
    <row r="45" spans="1:15" ht="41.4" customHeight="1" x14ac:dyDescent="0.3">
      <c r="A45" s="20" t="s">
        <v>287</v>
      </c>
      <c r="B45" s="4" t="s">
        <v>299</v>
      </c>
      <c r="C45" s="4" t="s">
        <v>310</v>
      </c>
      <c r="D45" s="18" t="s">
        <v>22</v>
      </c>
      <c r="E45" s="3" t="s">
        <v>381</v>
      </c>
      <c r="F45" s="3" t="s">
        <v>290</v>
      </c>
      <c r="G45" s="3" t="s">
        <v>291</v>
      </c>
      <c r="H45" s="3" t="s">
        <v>292</v>
      </c>
      <c r="I45" s="3" t="s">
        <v>293</v>
      </c>
      <c r="J45" s="3"/>
      <c r="K45" s="3" t="s">
        <v>294</v>
      </c>
      <c r="L45" s="4" t="str">
        <f>VLOOKUP(Table1[[#This Row],[Importance]],'Logic and Calculation'!$H$3:$J$12,3,FALSE)</f>
        <v>Medium</v>
      </c>
      <c r="M45" s="4">
        <v>7</v>
      </c>
      <c r="N45" s="4">
        <f>VLOOKUP(Table1[[#This Row],[Importance]],'Logic and Calculation'!$H$3:$J$12,2,FALSE)</f>
        <v>-11</v>
      </c>
      <c r="O45" s="15"/>
    </row>
    <row r="46" spans="1:15" ht="48" customHeight="1" x14ac:dyDescent="0.3">
      <c r="A46" s="20" t="s">
        <v>287</v>
      </c>
      <c r="B46" s="4" t="s">
        <v>304</v>
      </c>
      <c r="C46" s="4" t="s">
        <v>318</v>
      </c>
      <c r="D46" s="18" t="s">
        <v>22</v>
      </c>
      <c r="E46" s="3" t="s">
        <v>419</v>
      </c>
      <c r="F46" s="3" t="s">
        <v>296</v>
      </c>
      <c r="G46" s="3" t="s">
        <v>420</v>
      </c>
      <c r="H46" s="3" t="s">
        <v>421</v>
      </c>
      <c r="I46" s="3" t="s">
        <v>297</v>
      </c>
      <c r="J46" s="3" t="s">
        <v>452</v>
      </c>
      <c r="K46" s="3" t="s">
        <v>298</v>
      </c>
      <c r="L46" s="4" t="str">
        <f>VLOOKUP(Table1[[#This Row],[Importance]],'Logic and Calculation'!$H$3:$J$12,3,FALSE)</f>
        <v>Medium</v>
      </c>
      <c r="M46" s="4">
        <v>6</v>
      </c>
      <c r="N46" s="4">
        <f>VLOOKUP(Table1[[#This Row],[Importance]],'Logic and Calculation'!$H$3:$J$12,2,FALSE)</f>
        <v>-9</v>
      </c>
      <c r="O46" s="15"/>
    </row>
    <row r="47" spans="1:15" ht="24" customHeight="1" x14ac:dyDescent="0.3">
      <c r="A47" s="20" t="s">
        <v>287</v>
      </c>
      <c r="B47" s="4" t="s">
        <v>306</v>
      </c>
      <c r="C47" s="4" t="s">
        <v>319</v>
      </c>
      <c r="D47" s="18" t="s">
        <v>22</v>
      </c>
      <c r="E47" s="3" t="s">
        <v>300</v>
      </c>
      <c r="F47" s="3" t="s">
        <v>301</v>
      </c>
      <c r="G47" s="3" t="s">
        <v>276</v>
      </c>
      <c r="H47" s="3" t="s">
        <v>302</v>
      </c>
      <c r="I47" s="3" t="s">
        <v>303</v>
      </c>
      <c r="J47" s="3" t="s">
        <v>452</v>
      </c>
      <c r="K47" s="3" t="s">
        <v>298</v>
      </c>
      <c r="L47" s="4" t="str">
        <f>VLOOKUP(Table1[[#This Row],[Importance]],'Logic and Calculation'!$H$3:$J$12,3,FALSE)</f>
        <v>Medium</v>
      </c>
      <c r="M47" s="4">
        <v>6</v>
      </c>
      <c r="N47" s="4">
        <f>VLOOKUP(Table1[[#This Row],[Importance]],'Logic and Calculation'!$H$3:$J$12,2,FALSE)</f>
        <v>-9</v>
      </c>
      <c r="O47" s="15"/>
    </row>
    <row r="48" spans="1:15" ht="36" customHeight="1" x14ac:dyDescent="0.3">
      <c r="A48" s="20" t="s">
        <v>19</v>
      </c>
      <c r="B48" s="4" t="s">
        <v>309</v>
      </c>
      <c r="C48" s="4" t="s">
        <v>320</v>
      </c>
      <c r="D48" s="18" t="s">
        <v>22</v>
      </c>
      <c r="E48" s="3" t="s">
        <v>422</v>
      </c>
      <c r="F48" s="3" t="s">
        <v>308</v>
      </c>
      <c r="G48" s="3" t="s">
        <v>423</v>
      </c>
      <c r="H48" s="3" t="s">
        <v>424</v>
      </c>
      <c r="I48" s="3" t="s">
        <v>425</v>
      </c>
      <c r="J48" s="3" t="s">
        <v>450</v>
      </c>
      <c r="K48" s="3" t="s">
        <v>426</v>
      </c>
      <c r="L48" s="4" t="str">
        <f>VLOOKUP(Table1[[#This Row],[Importance]],'Logic and Calculation'!$H$3:$J$12,3,FALSE)</f>
        <v>Critical</v>
      </c>
      <c r="M48" s="4">
        <v>10</v>
      </c>
      <c r="N48" s="4">
        <f>VLOOKUP(Table1[[#This Row],[Importance]],'Logic and Calculation'!$H$3:$J$12,2,FALSE)</f>
        <v>-18</v>
      </c>
      <c r="O48" s="15"/>
    </row>
    <row r="49" spans="1:15" ht="36" customHeight="1" x14ac:dyDescent="0.3">
      <c r="A49" s="20" t="s">
        <v>19</v>
      </c>
      <c r="B49" s="4" t="s">
        <v>317</v>
      </c>
      <c r="C49" s="4" t="s">
        <v>326</v>
      </c>
      <c r="D49" s="18" t="s">
        <v>22</v>
      </c>
      <c r="E49" s="3" t="s">
        <v>311</v>
      </c>
      <c r="F49" s="3" t="s">
        <v>312</v>
      </c>
      <c r="G49" s="3" t="s">
        <v>313</v>
      </c>
      <c r="H49" s="3" t="s">
        <v>314</v>
      </c>
      <c r="I49" s="3" t="s">
        <v>315</v>
      </c>
      <c r="J49" s="3" t="s">
        <v>451</v>
      </c>
      <c r="K49" s="3" t="s">
        <v>316</v>
      </c>
      <c r="L49" s="4" t="str">
        <f>VLOOKUP(Table1[[#This Row],[Importance]],'Logic and Calculation'!$H$3:$J$12,3,FALSE)</f>
        <v>High</v>
      </c>
      <c r="M49" s="4">
        <v>8</v>
      </c>
      <c r="N49" s="4">
        <f>VLOOKUP(Table1[[#This Row],[Importance]],'Logic and Calculation'!$H$3:$J$12,2,FALSE)</f>
        <v>-13</v>
      </c>
      <c r="O49" s="15"/>
    </row>
  </sheetData>
  <phoneticPr fontId="10" type="noConversion"/>
  <conditionalFormatting sqref="D2:D49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344</v>
      </c>
    </row>
    <row r="2" spans="1:13" x14ac:dyDescent="0.3">
      <c r="A2" t="s">
        <v>345</v>
      </c>
      <c r="B2">
        <v>100</v>
      </c>
      <c r="D2" t="s">
        <v>346</v>
      </c>
      <c r="H2" s="12" t="s">
        <v>16</v>
      </c>
      <c r="I2" s="12" t="s">
        <v>347</v>
      </c>
      <c r="J2" s="12" t="s">
        <v>348</v>
      </c>
      <c r="L2" s="28" t="s">
        <v>1</v>
      </c>
      <c r="M2" s="28" t="s">
        <v>349</v>
      </c>
    </row>
    <row r="3" spans="1:13" x14ac:dyDescent="0.3">
      <c r="A3" t="s">
        <v>350</v>
      </c>
      <c r="B3">
        <f>SUM(F8:F993)</f>
        <v>0</v>
      </c>
      <c r="D3" t="s">
        <v>377</v>
      </c>
      <c r="H3">
        <v>10</v>
      </c>
      <c r="I3">
        <v>-18</v>
      </c>
      <c r="J3" t="s">
        <v>351</v>
      </c>
      <c r="L3" t="s">
        <v>369</v>
      </c>
      <c r="M3" t="s">
        <v>352</v>
      </c>
    </row>
    <row r="4" spans="1:13" x14ac:dyDescent="0.3">
      <c r="A4" t="s">
        <v>353</v>
      </c>
      <c r="B4">
        <f>B2+B3</f>
        <v>100</v>
      </c>
      <c r="D4" t="s">
        <v>354</v>
      </c>
      <c r="H4">
        <v>9</v>
      </c>
      <c r="I4">
        <v>-15</v>
      </c>
      <c r="J4" t="s">
        <v>355</v>
      </c>
      <c r="L4" t="s">
        <v>356</v>
      </c>
      <c r="M4" t="s">
        <v>357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358</v>
      </c>
      <c r="H5">
        <v>8</v>
      </c>
      <c r="I5">
        <v>-13</v>
      </c>
      <c r="J5" t="s">
        <v>355</v>
      </c>
      <c r="L5" t="s">
        <v>359</v>
      </c>
      <c r="M5" t="s">
        <v>360</v>
      </c>
    </row>
    <row r="6" spans="1:13" x14ac:dyDescent="0.3">
      <c r="A6" t="s">
        <v>361</v>
      </c>
      <c r="B6" t="s">
        <v>362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Framework_Reference!N2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Framework_Reference!N3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363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Framework_Reference!N4</f>
        <v>-7</v>
      </c>
      <c r="F10">
        <f t="shared" si="1"/>
        <v>0</v>
      </c>
      <c r="H10">
        <v>3</v>
      </c>
      <c r="I10">
        <v>-3</v>
      </c>
      <c r="J10" t="s">
        <v>363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Framework_Reference!N5</f>
        <v>-18</v>
      </c>
      <c r="F11">
        <f t="shared" si="1"/>
        <v>0</v>
      </c>
      <c r="H11">
        <v>2</v>
      </c>
      <c r="I11">
        <v>-2</v>
      </c>
      <c r="J11" t="s">
        <v>364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Framework_Reference!N6</f>
        <v>-18</v>
      </c>
      <c r="F12">
        <f t="shared" si="1"/>
        <v>0</v>
      </c>
      <c r="H12">
        <v>1</v>
      </c>
      <c r="I12">
        <v>-1</v>
      </c>
      <c r="J12" t="s">
        <v>364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Framework_Reference!N8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Framework_Reference!N9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Framework_Reference!N10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Framework_Reference!N11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Framework_Reference!N12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Framework_Reference!N13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Framework_Reference!N15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Framework_Reference!N16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Framework_Reference!N17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Framework_Reference!N18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Framework_Reference!N19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Framework_Reference!N20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Framework_Reference!N21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Framework_Reference!N22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Framework_Reference!N23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Framework_Reference!N24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Framework_Reference!N25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Framework_Reference!N26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Framework_Reference!N27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Framework_Reference!N28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Framework_Reference!N29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Framework_Reference!N30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Framework_Reference!N31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Framework_Reference!N32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Framework_Reference!N33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Framework_Reference!N34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Framework_Reference!N35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Framework_Reference!N36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Framework_Reference!N37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Framework_Reference!N38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Framework_Reference!N39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Framework_Reference!N40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Framework_Reference!N41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Framework_Reference!N42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Framework_Reference!N43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Framework_Reference!N44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Framework_Reference!N45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Framework_Reference!N46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Framework_Reference!N47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Framework_Reference!N48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Framework_Reference!N49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2026-04-17T18:39:02Z</dcterms:modified>
</cp:coreProperties>
</file>